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Executive Actions" sheetId="2" state="visible" r:id="rId2"/>
    <sheet name="Product Performance" sheetId="3" state="visible" r:id="rId3"/>
    <sheet name="ML Models" sheetId="4" state="visible" r:id="rId4"/>
    <sheet name="Pipeline Summary" sheetId="5" state="visible" r:id="rId5"/>
    <sheet name="Channel Performance" sheetId="6" state="visible" r:id="rId6"/>
    <sheet name="DQ Report" sheetId="7" state="visible" r:id="rId7"/>
    <sheet name="GA4 Events" sheetId="8" state="visible" r:id="rId8"/>
    <sheet name="Airflow DAG" sheetId="9" state="visible" r:id="rId9"/>
  </sheets>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Calibri"/>
      <b val="1"/>
      <color rgb="000F172A"/>
      <sz val="22"/>
    </font>
    <font>
      <name val="Calibri"/>
      <color rgb="00334155"/>
      <sz val="11"/>
    </font>
    <font>
      <name val="Calibri"/>
      <i val="1"/>
      <color rgb="000891B2"/>
      <sz val="10"/>
    </font>
    <font>
      <name val="Calibri"/>
      <b val="1"/>
      <color rgb="00D97706"/>
      <sz val="18"/>
    </font>
    <font>
      <name val="Calibri"/>
      <color rgb="0064748B"/>
      <sz val="8"/>
    </font>
    <font>
      <name val="Calibri"/>
      <b val="1"/>
      <color rgb="000891B2"/>
      <sz val="18"/>
    </font>
    <font>
      <name val="Calibri"/>
      <b val="1"/>
      <color rgb="0016A34A"/>
      <sz val="18"/>
    </font>
    <font>
      <name val="Calibri"/>
      <b val="1"/>
      <color rgb="007C3AED"/>
      <sz val="18"/>
    </font>
    <font>
      <name val="Calibri"/>
      <b val="1"/>
      <color rgb="002563EB"/>
      <sz val="18"/>
    </font>
    <font>
      <name val="Calibri"/>
      <b val="1"/>
      <color rgb="000891B2"/>
      <sz val="10"/>
    </font>
    <font>
      <name val="Calibri"/>
      <color rgb="002563EB"/>
      <sz val="9"/>
    </font>
    <font>
      <name val="Calibri"/>
      <b val="1"/>
      <color rgb="0016A34A"/>
      <sz val="12"/>
    </font>
    <font>
      <name val="Calibri"/>
      <i val="1"/>
      <color rgb="00334155"/>
      <sz val="9"/>
    </font>
    <font>
      <name val="Calibri"/>
      <b val="1"/>
      <color rgb="000891B2"/>
      <sz val="9"/>
    </font>
    <font>
      <name val="Calibri"/>
      <color rgb="00334155"/>
      <sz val="9"/>
    </font>
    <font>
      <name val="Calibri"/>
      <b val="1"/>
      <color rgb="000F172A"/>
      <sz val="9"/>
    </font>
    <font>
      <name val="Calibri"/>
      <b val="1"/>
      <color rgb="00D97706"/>
      <sz val="12"/>
    </font>
    <font>
      <name val="Calibri"/>
      <b val="1"/>
      <color rgb="00D97706"/>
      <sz val="9"/>
    </font>
    <font>
      <name val="Calibri"/>
      <b val="1"/>
      <color rgb="0016A34A"/>
      <sz val="9"/>
    </font>
    <font>
      <name val="Calibri"/>
      <b val="1"/>
      <color rgb="00DC2626"/>
      <sz val="12"/>
    </font>
    <font>
      <name val="Calibri"/>
      <b val="1"/>
      <color rgb="00DC2626"/>
      <sz val="9"/>
    </font>
    <font>
      <name val="Calibri"/>
      <b val="1"/>
      <color rgb="007C3AED"/>
      <sz val="12"/>
    </font>
    <font>
      <name val="Calibri"/>
      <b val="1"/>
      <color rgb="000891B2"/>
      <sz val="12"/>
    </font>
    <font>
      <name val="Calibri"/>
      <b val="1"/>
      <color rgb="002563EB"/>
      <sz val="9"/>
    </font>
    <font>
      <name val="Calibri"/>
      <b val="1"/>
      <color rgb="007C3AED"/>
      <sz val="9"/>
    </font>
    <font>
      <name val="Calibri"/>
      <i val="1"/>
      <color rgb="00D97706"/>
      <sz val="8"/>
    </font>
  </fonts>
  <fills count="10">
    <fill>
      <patternFill/>
    </fill>
    <fill>
      <patternFill patternType="gray125"/>
    </fill>
    <fill>
      <patternFill patternType="solid">
        <fgColor rgb="00F8FAFC"/>
      </patternFill>
    </fill>
    <fill>
      <patternFill patternType="solid">
        <fgColor rgb="00FFFFFF"/>
      </patternFill>
    </fill>
    <fill>
      <patternFill patternType="solid">
        <fgColor rgb="0016A34A"/>
      </patternFill>
    </fill>
    <fill>
      <patternFill patternType="solid">
        <fgColor rgb="00F1F5F9"/>
      </patternFill>
    </fill>
    <fill>
      <patternFill patternType="solid">
        <fgColor rgb="00D97706"/>
      </patternFill>
    </fill>
    <fill>
      <patternFill patternType="solid">
        <fgColor rgb="00DC2626"/>
      </patternFill>
    </fill>
    <fill>
      <patternFill patternType="solid">
        <fgColor rgb="007C3AED"/>
      </patternFill>
    </fill>
    <fill>
      <patternFill patternType="solid">
        <fgColor rgb="000891B2"/>
      </patternFill>
    </fill>
  </fills>
  <borders count="8">
    <border>
      <left/>
      <right/>
      <top/>
      <bottom/>
      <diagonal/>
    </border>
    <border>
      <left style="medium">
        <color rgb="00D97706"/>
      </left>
      <right style="medium">
        <color rgb="00D97706"/>
      </right>
      <top style="medium">
        <color rgb="00D97706"/>
      </top>
      <bottom style="medium">
        <color rgb="00D97706"/>
      </bottom>
    </border>
    <border>
      <left style="hair">
        <color rgb="00CBD5E1"/>
      </left>
      <right style="hair">
        <color rgb="00CBD5E1"/>
      </right>
      <top style="hair">
        <color rgb="00CBD5E1"/>
      </top>
      <bottom style="hair">
        <color rgb="00CBD5E1"/>
      </bottom>
    </border>
    <border>
      <left style="medium">
        <color rgb="000891B2"/>
      </left>
      <right style="medium">
        <color rgb="000891B2"/>
      </right>
      <top style="medium">
        <color rgb="000891B2"/>
      </top>
      <bottom style="medium">
        <color rgb="000891B2"/>
      </bottom>
    </border>
    <border>
      <left style="medium">
        <color rgb="0016A34A"/>
      </left>
      <right style="medium">
        <color rgb="0016A34A"/>
      </right>
      <top style="medium">
        <color rgb="0016A34A"/>
      </top>
      <bottom style="medium">
        <color rgb="0016A34A"/>
      </bottom>
    </border>
    <border>
      <left style="medium">
        <color rgb="007C3AED"/>
      </left>
      <right style="medium">
        <color rgb="007C3AED"/>
      </right>
      <top style="medium">
        <color rgb="007C3AED"/>
      </top>
      <bottom style="medium">
        <color rgb="007C3AED"/>
      </bottom>
    </border>
    <border>
      <left style="medium">
        <color rgb="002563EB"/>
      </left>
      <right style="medium">
        <color rgb="002563EB"/>
      </right>
      <top style="medium">
        <color rgb="002563EB"/>
      </top>
      <bottom style="medium">
        <color rgb="002563EB"/>
      </bottom>
    </border>
    <border>
      <left style="thin">
        <color rgb="00CBD5E1"/>
      </left>
      <right style="thin">
        <color rgb="00CBD5E1"/>
      </right>
      <top style="thin">
        <color rgb="00CBD5E1"/>
      </top>
      <bottom style="thin">
        <color rgb="00CBD5E1"/>
      </bottom>
    </border>
  </borders>
  <cellStyleXfs count="1">
    <xf numFmtId="0" fontId="0" fillId="0" borderId="0"/>
  </cellStyleXfs>
  <cellXfs count="48">
    <xf numFmtId="0" fontId="0" fillId="0" borderId="0" pivotButton="0" quotePrefix="0" xfId="0"/>
    <xf numFmtId="0" fontId="0" fillId="2"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3" borderId="1" applyAlignment="1" pivotButton="0" quotePrefix="0" xfId="0">
      <alignment horizontal="center" vertical="center"/>
    </xf>
    <xf numFmtId="0" fontId="6" fillId="3" borderId="3" applyAlignment="1" pivotButton="0" quotePrefix="0" xfId="0">
      <alignment horizontal="center" vertical="center"/>
    </xf>
    <xf numFmtId="0" fontId="7" fillId="3" borderId="4" applyAlignment="1" pivotButton="0" quotePrefix="0" xfId="0">
      <alignment horizontal="center" vertical="center"/>
    </xf>
    <xf numFmtId="0" fontId="8" fillId="3" borderId="5" applyAlignment="1" pivotButton="0" quotePrefix="0" xfId="0">
      <alignment horizontal="center" vertical="center"/>
    </xf>
    <xf numFmtId="0" fontId="9" fillId="3" borderId="6" applyAlignment="1" pivotButton="0" quotePrefix="0" xfId="0">
      <alignment horizontal="center" vertical="center"/>
    </xf>
    <xf numFmtId="0" fontId="5" fillId="3" borderId="2" applyAlignment="1" pivotButton="0" quotePrefix="0" xfId="0">
      <alignment horizontal="center" vertical="center"/>
    </xf>
    <xf numFmtId="0" fontId="10" fillId="2" borderId="0" pivotButton="0" quotePrefix="0" xfId="0"/>
    <xf numFmtId="0" fontId="11" fillId="2" borderId="0" pivotButton="0" quotePrefix="0" xfId="0"/>
    <xf numFmtId="0" fontId="12" fillId="2" borderId="0" pivotButton="0" quotePrefix="0" xfId="0"/>
    <xf numFmtId="0" fontId="13" fillId="2" borderId="0" pivotButton="0" quotePrefix="0" xfId="0"/>
    <xf numFmtId="0" fontId="13" fillId="2" borderId="0" applyAlignment="1" pivotButton="0" quotePrefix="0" xfId="0">
      <alignment horizontal="left" vertical="center" wrapText="1"/>
    </xf>
    <xf numFmtId="0" fontId="14" fillId="4" borderId="7" applyAlignment="1" pivotButton="0" quotePrefix="0" xfId="0">
      <alignment horizontal="center" vertical="center"/>
    </xf>
    <xf numFmtId="0" fontId="15" fillId="3" borderId="2" applyAlignment="1" pivotButton="0" quotePrefix="0" xfId="0">
      <alignment horizontal="left" vertical="center"/>
    </xf>
    <xf numFmtId="0" fontId="16"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5" fillId="5" borderId="2" applyAlignment="1" pivotButton="0" quotePrefix="0" xfId="0">
      <alignment horizontal="left" vertical="center"/>
    </xf>
    <xf numFmtId="0" fontId="16" fillId="5" borderId="2" applyAlignment="1" pivotButton="0" quotePrefix="0" xfId="0">
      <alignment horizontal="left" vertical="center" wrapText="1"/>
    </xf>
    <xf numFmtId="0" fontId="15" fillId="5" borderId="2" applyAlignment="1" pivotButton="0" quotePrefix="0" xfId="0">
      <alignment horizontal="left" vertical="center" wrapText="1"/>
    </xf>
    <xf numFmtId="0" fontId="17" fillId="2" borderId="0" pivotButton="0" quotePrefix="0" xfId="0"/>
    <xf numFmtId="0" fontId="14" fillId="6" borderId="7" applyAlignment="1" pivotButton="0" quotePrefix="0" xfId="0">
      <alignment horizontal="center" vertical="center"/>
    </xf>
    <xf numFmtId="0" fontId="18" fillId="3" borderId="2" applyAlignment="1" pivotButton="0" quotePrefix="0" xfId="0">
      <alignment horizontal="left" vertical="center" wrapText="1"/>
    </xf>
    <xf numFmtId="0" fontId="18" fillId="5" borderId="2" applyAlignment="1" pivotButton="0" quotePrefix="0" xfId="0">
      <alignment horizontal="left" vertical="center" wrapText="1"/>
    </xf>
    <xf numFmtId="0" fontId="16" fillId="3" borderId="2" applyAlignment="1" pivotButton="0" quotePrefix="0" xfId="0">
      <alignment horizontal="left" vertical="center"/>
    </xf>
    <xf numFmtId="0" fontId="19" fillId="3" borderId="2" applyAlignment="1" pivotButton="0" quotePrefix="0" xfId="0">
      <alignment horizontal="left" vertical="center"/>
    </xf>
    <xf numFmtId="0" fontId="16" fillId="5" borderId="2" applyAlignment="1" pivotButton="0" quotePrefix="0" xfId="0">
      <alignment horizontal="left" vertical="center"/>
    </xf>
    <xf numFmtId="0" fontId="19" fillId="5" borderId="2" applyAlignment="1" pivotButton="0" quotePrefix="0" xfId="0">
      <alignment horizontal="left" vertical="center"/>
    </xf>
    <xf numFmtId="0" fontId="20" fillId="2" borderId="0" pivotButton="0" quotePrefix="0" xfId="0"/>
    <xf numFmtId="0" fontId="14" fillId="7" borderId="7" applyAlignment="1" pivotButton="0" quotePrefix="0" xfId="0">
      <alignment horizontal="center" vertical="center"/>
    </xf>
    <xf numFmtId="0" fontId="21" fillId="3" borderId="2" applyAlignment="1" pivotButton="0" quotePrefix="0" xfId="0">
      <alignment horizontal="left" vertical="center"/>
    </xf>
    <xf numFmtId="0" fontId="21" fillId="5" borderId="2" applyAlignment="1" pivotButton="0" quotePrefix="0" xfId="0">
      <alignment horizontal="left" vertical="center"/>
    </xf>
    <xf numFmtId="0" fontId="22" fillId="2" borderId="0" pivotButton="0" quotePrefix="0" xfId="0"/>
    <xf numFmtId="0" fontId="14" fillId="8" borderId="7" applyAlignment="1" pivotButton="0" quotePrefix="0" xfId="0">
      <alignment horizontal="center" vertical="center"/>
    </xf>
    <xf numFmtId="0" fontId="23" fillId="2" borderId="0" pivotButton="0" quotePrefix="0" xfId="0"/>
    <xf numFmtId="0" fontId="14" fillId="9" borderId="7" applyAlignment="1" pivotButton="0" quotePrefix="0" xfId="0">
      <alignment horizontal="center" vertical="center"/>
    </xf>
    <xf numFmtId="0" fontId="14" fillId="2" borderId="7" applyAlignment="1" pivotButton="0" quotePrefix="0" xfId="0">
      <alignment horizontal="center" vertical="center"/>
    </xf>
    <xf numFmtId="0" fontId="18" fillId="3" borderId="2" applyAlignment="1" pivotButton="0" quotePrefix="0" xfId="0">
      <alignment horizontal="left" vertical="center"/>
    </xf>
    <xf numFmtId="0" fontId="14" fillId="5" borderId="2" applyAlignment="1" pivotButton="0" quotePrefix="0" xfId="0">
      <alignment horizontal="left" vertical="center"/>
    </xf>
    <xf numFmtId="0" fontId="14" fillId="3" borderId="2" applyAlignment="1" pivotButton="0" quotePrefix="0" xfId="0">
      <alignment horizontal="left" vertical="center"/>
    </xf>
    <xf numFmtId="0" fontId="24" fillId="3" borderId="2" applyAlignment="1" pivotButton="0" quotePrefix="0" xfId="0">
      <alignment horizontal="left" vertical="center"/>
    </xf>
    <xf numFmtId="0" fontId="25" fillId="3" borderId="2" applyAlignment="1" pivotButton="0" quotePrefix="0" xfId="0">
      <alignment horizontal="left" vertical="center"/>
    </xf>
    <xf numFmtId="0" fontId="16" fillId="3" borderId="3" applyAlignment="1" pivotButton="0" quotePrefix="0" xfId="0">
      <alignment horizontal="center" vertical="center"/>
    </xf>
    <xf numFmtId="0" fontId="26" fillId="2" borderId="0" pivotButton="0" quotePrefix="0" xfId="0"/>
    <xf numFmtId="0" fontId="18" fillId="5" borderId="2"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Top Product Revenue</a:t>
            </a:r>
          </a:p>
        </rich>
      </tx>
    </title>
    <plotArea>
      <barChart>
        <barDir val="bar"/>
        <grouping val="clustered"/>
        <ser>
          <idx val="0"/>
          <order val="0"/>
          <tx>
            <strRef>
              <f>'Product Performance'!F5</f>
            </strRef>
          </tx>
          <spPr>
            <a:solidFill>
              <a:srgbClr val="16A34A"/>
            </a:solidFill>
            <a:ln>
              <a:prstDash val="solid"/>
            </a:ln>
          </spPr>
          <cat>
            <numRef>
              <f>'Product Performance'!$B$6:$B$15</f>
            </numRef>
          </cat>
          <val>
            <numRef>
              <f>'Product Performance'!$F$6:$F$15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Worst Product ROAS</a:t>
            </a:r>
          </a:p>
        </rich>
      </tx>
    </title>
    <plotArea>
      <barChart>
        <barDir val="bar"/>
        <grouping val="clustered"/>
        <ser>
          <idx val="0"/>
          <order val="0"/>
          <tx>
            <strRef>
              <f>'Product Performance'!I20</f>
            </strRef>
          </tx>
          <spPr>
            <a:solidFill>
              <a:srgbClr val="DC2626"/>
            </a:solidFill>
            <a:ln>
              <a:prstDash val="solid"/>
            </a:ln>
          </spPr>
          <cat>
            <numRef>
              <f>'Product Performance'!$B$21:$B$30</f>
            </numRef>
          </cat>
          <val>
            <numRef>
              <f>'Product Performance'!$I$21:$I$30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ROAS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Customer Model AUC</a:t>
            </a:r>
          </a:p>
        </rich>
      </tx>
    </title>
    <plotArea>
      <barChart>
        <barDir val="col"/>
        <grouping val="clustered"/>
        <ser>
          <idx val="0"/>
          <order val="0"/>
          <tx>
            <strRef>
              <f>'ML Models'!D5</f>
            </strRef>
          </tx>
          <spPr>
            <a:solidFill>
              <a:srgbClr val="7C3AED"/>
            </a:solidFill>
            <a:ln>
              <a:prstDash val="solid"/>
            </a:ln>
          </spPr>
          <cat>
            <numRef>
              <f>'ML Models'!$B$6:$B$7</f>
            </numRef>
          </cat>
          <val>
            <numRef>
              <f>'ML Models'!$D$6:$D$7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AUC</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ROAS RMSE — Lower Is Better</a:t>
            </a:r>
          </a:p>
        </rich>
      </tx>
    </title>
    <plotArea>
      <barChart>
        <barDir val="col"/>
        <grouping val="clustered"/>
        <ser>
          <idx val="0"/>
          <order val="0"/>
          <tx>
            <strRef>
              <f>'ML Models'!D12</f>
            </strRef>
          </tx>
          <spPr>
            <a:solidFill>
              <a:srgbClr val="0891B2"/>
            </a:solidFill>
            <a:ln>
              <a:prstDash val="solid"/>
            </a:ln>
          </spPr>
          <cat>
            <numRef>
              <f>'ML Models'!$B$13:$B$16</f>
            </numRef>
          </cat>
          <val>
            <numRef>
              <f>'ML Models'!$D$13:$D$16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RMSE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July Predicted ROAS</a:t>
            </a:r>
          </a:p>
        </rich>
      </tx>
    </title>
    <plotArea>
      <barChart>
        <barDir val="col"/>
        <grouping val="clustered"/>
        <ser>
          <idx val="0"/>
          <order val="0"/>
          <tx>
            <strRef>
              <f>'ML Models'!D21</f>
            </strRef>
          </tx>
          <spPr>
            <a:solidFill>
              <a:srgbClr val="16A34A"/>
            </a:solidFill>
            <a:ln>
              <a:prstDash val="solid"/>
            </a:ln>
          </spPr>
          <cat>
            <numRef>
              <f>'ML Models'!$B$22:$B$25</f>
            </numRef>
          </cat>
          <val>
            <numRef>
              <f>'ML Models'!$D$22:$D$25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ROAS</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Row Volume by Medallion Layer</a:t>
            </a:r>
          </a:p>
        </rich>
      </tx>
    </title>
    <plotArea>
      <barChart>
        <barDir val="bar"/>
        <grouping val="clustered"/>
        <ser>
          <idx val="0"/>
          <order val="0"/>
          <spPr>
            <a:solidFill>
              <a:srgbClr val="0891B2"/>
            </a:solidFill>
            <a:ln>
              <a:prstDash val="solid"/>
            </a:ln>
          </spPr>
          <cat>
            <numRef>
              <f>'Pipeline Summary'!$B$22:$B$24</f>
            </numRef>
          </cat>
          <val>
            <numRef>
              <f>'Pipeline Summary'!$C$22:$C$24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Rows</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ROAS by Channel vs 3.0x Target</a:t>
            </a:r>
          </a:p>
        </rich>
      </tx>
    </title>
    <plotArea>
      <barChart>
        <barDir val="bar"/>
        <grouping val="clustered"/>
        <ser>
          <idx val="0"/>
          <order val="0"/>
          <spPr>
            <a:solidFill>
              <a:srgbClr val="2563EB"/>
            </a:solidFill>
            <a:ln>
              <a:prstDash val="solid"/>
            </a:ln>
          </spPr>
          <cat>
            <numRef>
              <f>'Channel Performance'!$B$15:$B$18</f>
            </numRef>
          </cat>
          <val>
            <numRef>
              <f>'Channel Performance'!$C$15:$C$18</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ROAS</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Impressions Share by Channel</a:t>
            </a:r>
          </a:p>
        </rich>
      </tx>
    </title>
    <plotArea>
      <pieChart>
        <varyColors val="1"/>
        <ser>
          <idx val="0"/>
          <order val="0"/>
          <spPr>
            <a:ln>
              <a:prstDash val="solid"/>
            </a:ln>
          </spPr>
          <cat>
            <numRef>
              <f>'Channel Performance'!$B$22:$B$25</f>
            </numRef>
          </cat>
          <val>
            <numRef>
              <f>'Channel Performance'!$C$22:$C$25</f>
            </numRef>
          </val>
        </ser>
        <firstSliceAng val="0"/>
      </pieChart>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Quarantined Rows by Source</a:t>
            </a:r>
          </a:p>
        </rich>
      </tx>
    </title>
    <plotArea>
      <pieChart>
        <varyColors val="1"/>
        <ser>
          <idx val="0"/>
          <order val="0"/>
          <spPr>
            <a:ln>
              <a:prstDash val="solid"/>
            </a:ln>
          </spPr>
          <cat>
            <numRef>
              <f>'DQ Report'!$B$27:$B$31</f>
            </numRef>
          </cat>
          <val>
            <numRef>
              <f>'DQ Report'!$C$27:$C$31</f>
            </numRef>
          </val>
        </ser>
        <firstSliceAng val="0"/>
      </pieChart>
    </plotArea>
    <legend>
      <legendPos val="r"/>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Monthly Sessions — GA4 H1 2024 Campaign</a:t>
            </a:r>
          </a:p>
        </rich>
      </tx>
    </title>
    <plotArea>
      <lineChart>
        <grouping val="standard"/>
        <ser>
          <idx val="0"/>
          <order val="0"/>
          <spPr>
            <a:ln w="20000">
              <a:solidFill>
                <a:srgbClr val="16A34A"/>
              </a:solidFill>
              <a:prstDash val="solid"/>
            </a:ln>
          </spPr>
          <marker>
            <symbol val="none"/>
            <spPr>
              <a:ln>
                <a:prstDash val="solid"/>
              </a:ln>
            </spPr>
          </marker>
          <cat>
            <numRef>
              <f>'GA4 Events'!$B$27:$B$32</f>
            </numRef>
          </cat>
          <val>
            <numRef>
              <f>'GA4 Events'!$C$27:$C$32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Sessions</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Approx Duration per Task Group (minutes)</a:t>
            </a:r>
          </a:p>
        </rich>
      </tx>
    </title>
    <plotArea>
      <barChart>
        <barDir val="bar"/>
        <grouping val="clustered"/>
        <ser>
          <idx val="0"/>
          <order val="0"/>
          <spPr>
            <a:solidFill>
              <a:srgbClr val="7C3AED"/>
            </a:solidFill>
            <a:ln>
              <a:prstDash val="solid"/>
            </a:ln>
          </spPr>
          <cat>
            <numRef>
              <f>'Airflow DAG'!$B$21:$B$24</f>
            </numRef>
          </cat>
          <val>
            <numRef>
              <f>'Airflow DAG'!$C$21:$C$24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Minutes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21</row>
      <rowOff>0</rowOff>
    </from>
    <ext cx="576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4</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17</row>
      <rowOff>0</rowOff>
    </from>
    <ext cx="4680000" cy="252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30</row>
      <rowOff>0</rowOff>
    </from>
    <ext cx="4680000" cy="25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12</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24</row>
      <rowOff>0</rowOff>
    </from>
    <ext cx="576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tabColor rgb="000891B2"/>
    <outlinePr summaryBelow="1" summaryRight="1"/>
    <pageSetUpPr/>
  </sheetPr>
  <dimension ref="A1:G29"/>
  <sheetViews>
    <sheetView showGridLines="0" workbookViewId="0">
      <selection activeCell="A1" sqref="A1"/>
    </sheetView>
  </sheetViews>
  <sheetFormatPr baseColWidth="8" defaultRowHeight="15"/>
  <cols>
    <col width="4" customWidth="1" min="1" max="1"/>
    <col width="28" customWidth="1" min="2" max="2"/>
    <col width="18" customWidth="1" min="3" max="3"/>
    <col width="18" customWidth="1" min="4" max="4"/>
    <col width="18" customWidth="1" min="5" max="5"/>
    <col width="18" customWidth="1" min="6" max="6"/>
    <col width="18" customWidth="1" min="7" max="7"/>
  </cols>
  <sheetData>
    <row r="1" ht="16" customHeight="1">
      <c r="A1" s="1" t="n"/>
      <c r="B1" s="1" t="n"/>
      <c r="C1" s="1" t="n"/>
      <c r="D1" s="1" t="n"/>
      <c r="E1" s="1" t="n"/>
      <c r="F1" s="1" t="n"/>
      <c r="G1" s="1" t="n"/>
    </row>
    <row r="2" ht="16" customHeight="1">
      <c r="A2" s="1" t="n"/>
      <c r="B2" s="2" t="inlineStr">
        <is>
          <t>Cape &amp; Cart H1 Growth Campaign — Portfolio Scenario Pack</t>
        </is>
      </c>
    </row>
    <row r="3" ht="16" customHeight="1">
      <c r="A3" s="1" t="n"/>
      <c r="B3" s="3" t="inlineStr">
        <is>
          <t>Executive decision workbook  ·  1 Jan-30 Jun 2024 data  ·  Anthony Apollis</t>
        </is>
      </c>
    </row>
    <row r="4" ht="16" customHeight="1">
      <c r="A4" s="1" t="n"/>
      <c r="B4" s="1" t="n"/>
      <c r="C4" s="1" t="n"/>
      <c r="D4" s="1" t="n"/>
      <c r="E4" s="1" t="n"/>
      <c r="F4" s="1" t="n"/>
      <c r="G4" s="1" t="n"/>
    </row>
    <row r="5" ht="16" customHeight="1">
      <c r="A5" s="1" t="n"/>
      <c r="B5" s="4" t="inlineStr">
        <is>
          <t>Cape &amp; Cart: Cape Town-born ecommerce retailer  ·  Six months  ·  R1.483M paid media spend</t>
        </is>
      </c>
    </row>
    <row r="6" ht="16" customHeight="1">
      <c r="A6" s="1" t="n"/>
      <c r="B6" s="1" t="n"/>
      <c r="C6" s="1" t="n"/>
      <c r="D6" s="1" t="n"/>
      <c r="E6" s="1" t="n"/>
      <c r="F6" s="1" t="n"/>
      <c r="G6" s="1" t="n"/>
    </row>
    <row r="7" ht="16" customHeight="1">
      <c r="A7" s="1" t="n"/>
      <c r="B7" s="1" t="n"/>
      <c r="C7" s="1" t="n"/>
      <c r="D7" s="1" t="n"/>
      <c r="E7" s="1" t="n"/>
      <c r="F7" s="1" t="n"/>
      <c r="G7" s="1" t="n"/>
    </row>
    <row r="8" ht="16" customHeight="1">
      <c r="A8" s="1" t="n"/>
      <c r="B8" s="1" t="n"/>
      <c r="C8" s="1" t="n"/>
      <c r="D8" s="1" t="n"/>
      <c r="E8" s="1" t="n"/>
      <c r="F8" s="1" t="n"/>
      <c r="G8" s="1" t="n"/>
    </row>
    <row r="9" ht="16" customHeight="1">
      <c r="A9" s="1" t="n"/>
      <c r="B9" s="1" t="n"/>
      <c r="C9" s="1" t="n"/>
      <c r="D9" s="1" t="n"/>
      <c r="E9" s="1" t="n"/>
      <c r="F9" s="1" t="n"/>
      <c r="G9" s="1" t="n"/>
    </row>
    <row r="11" ht="30" customHeight="1">
      <c r="B11" s="5" t="inlineStr">
        <is>
          <t>8,775</t>
        </is>
      </c>
      <c r="C11" s="6" t="inlineStr">
        <is>
          <t>523K</t>
        </is>
      </c>
      <c r="D11" s="7" t="inlineStr">
        <is>
          <t>94.0%</t>
        </is>
      </c>
      <c r="E11" s="7" t="inlineStr">
        <is>
          <t>3.8×</t>
        </is>
      </c>
      <c r="F11" s="8" t="inlineStr">
        <is>
          <t>R1.483M</t>
        </is>
      </c>
      <c r="G11" s="9" t="inlineStr">
        <is>
          <t>1,886</t>
        </is>
      </c>
    </row>
    <row r="12" ht="16" customHeight="1">
      <c r="B12" s="10" t="inlineStr">
        <is>
          <t>Repo Raw Rows</t>
        </is>
      </c>
      <c r="C12" s="10" t="inlineStr">
        <is>
          <t>Modelled Rows</t>
        </is>
      </c>
      <c r="D12" s="10" t="inlineStr">
        <is>
          <t>DQ Pass Rate</t>
        </is>
      </c>
      <c r="E12" s="10" t="inlineStr">
        <is>
          <t>Blended ROAS</t>
        </is>
      </c>
      <c r="F12" s="10" t="inlineStr">
        <is>
          <t>Paid Spend</t>
        </is>
      </c>
      <c r="G12" s="10" t="inlineStr">
        <is>
          <t>Conversions</t>
        </is>
      </c>
    </row>
    <row r="14" ht="20" customHeight="1">
      <c r="B14" s="11" t="inlineStr">
        <is>
          <t>CONTENTS</t>
        </is>
      </c>
    </row>
    <row r="15" ht="15" customHeight="1">
      <c r="A15" s="1" t="n"/>
      <c r="B15" s="12" t="inlineStr">
        <is>
          <t>Sheet 1: Cover</t>
        </is>
      </c>
      <c r="C15" s="1" t="n"/>
      <c r="D15" s="1" t="n"/>
      <c r="E15" s="1" t="n"/>
      <c r="F15" s="1" t="n"/>
      <c r="G15" s="1" t="n"/>
    </row>
    <row r="16" ht="15" customHeight="1">
      <c r="A16" s="1" t="n"/>
      <c r="B16" s="12" t="inlineStr">
        <is>
          <t>Sheet 2: Executive Actions</t>
        </is>
      </c>
      <c r="C16" s="1" t="n"/>
      <c r="D16" s="1" t="n"/>
      <c r="E16" s="1" t="n"/>
      <c r="F16" s="1" t="n"/>
      <c r="G16" s="1" t="n"/>
    </row>
    <row r="17" ht="15" customHeight="1">
      <c r="A17" s="1" t="n"/>
      <c r="B17" s="12" t="inlineStr">
        <is>
          <t>Sheet 3: Product Performance</t>
        </is>
      </c>
      <c r="C17" s="1" t="n"/>
      <c r="D17" s="1" t="n"/>
      <c r="E17" s="1" t="n"/>
      <c r="F17" s="1" t="n"/>
      <c r="G17" s="1" t="n"/>
    </row>
    <row r="18" ht="15" customHeight="1">
      <c r="A18" s="1" t="n"/>
      <c r="B18" s="12" t="inlineStr">
        <is>
          <t>Sheet 4: ML Models</t>
        </is>
      </c>
      <c r="C18" s="1" t="n"/>
      <c r="D18" s="1" t="n"/>
      <c r="E18" s="1" t="n"/>
      <c r="F18" s="1" t="n"/>
      <c r="G18" s="1" t="n"/>
    </row>
    <row r="19" ht="15" customHeight="1">
      <c r="A19" s="1" t="n"/>
      <c r="B19" s="12" t="inlineStr">
        <is>
          <t>Sheet 5: Pipeline Summary</t>
        </is>
      </c>
      <c r="C19" s="1" t="n"/>
      <c r="D19" s="1" t="n"/>
      <c r="E19" s="1" t="n"/>
      <c r="F19" s="1" t="n"/>
      <c r="G19" s="1" t="n"/>
    </row>
    <row r="20" ht="15" customHeight="1">
      <c r="A20" s="1" t="n"/>
      <c r="B20" s="12" t="inlineStr">
        <is>
          <t>Sheet 6: Channel Performance</t>
        </is>
      </c>
      <c r="C20" s="1" t="n"/>
      <c r="D20" s="1" t="n"/>
      <c r="E20" s="1" t="n"/>
      <c r="F20" s="1" t="n"/>
      <c r="G20" s="1" t="n"/>
    </row>
    <row r="21" ht="15" customHeight="1">
      <c r="A21" s="1" t="n"/>
      <c r="B21" s="12" t="inlineStr">
        <is>
          <t>Sheet 7: DQ Report</t>
        </is>
      </c>
      <c r="C21" s="1" t="n"/>
      <c r="D21" s="1" t="n"/>
      <c r="E21" s="1" t="n"/>
      <c r="F21" s="1" t="n"/>
      <c r="G21" s="1" t="n"/>
    </row>
    <row r="22" ht="15" customHeight="1">
      <c r="A22" s="1" t="n"/>
      <c r="B22" s="12" t="inlineStr">
        <is>
          <t>Sheet 8: GA4 Events</t>
        </is>
      </c>
      <c r="C22" s="1" t="n"/>
      <c r="D22" s="1" t="n"/>
      <c r="E22" s="1" t="n"/>
      <c r="F22" s="1" t="n"/>
      <c r="G22" s="1" t="n"/>
    </row>
    <row r="23" ht="15" customHeight="1">
      <c r="A23" s="1" t="n"/>
      <c r="B23" s="12" t="inlineStr">
        <is>
          <t>Sheet 9: Airflow DAG</t>
        </is>
      </c>
      <c r="C23" s="1" t="n"/>
      <c r="D23" s="1" t="n"/>
      <c r="E23" s="1" t="n"/>
      <c r="F23" s="1" t="n"/>
      <c r="G23" s="1" t="n"/>
    </row>
    <row r="24" ht="15" customHeight="1">
      <c r="A24" s="1" t="n"/>
      <c r="B24" s="1" t="n"/>
      <c r="C24" s="1" t="n"/>
      <c r="D24" s="1" t="n"/>
      <c r="E24" s="1" t="n"/>
      <c r="F24" s="1" t="n"/>
      <c r="G24" s="1" t="n"/>
    </row>
    <row r="25" ht="15" customHeight="1">
      <c r="A25" s="1" t="n"/>
      <c r="B25" s="1" t="n"/>
      <c r="C25" s="1" t="n"/>
      <c r="D25" s="1" t="n"/>
      <c r="E25" s="1" t="n"/>
      <c r="F25" s="1" t="n"/>
      <c r="G25" s="1" t="n"/>
    </row>
    <row r="26" ht="15" customHeight="1">
      <c r="A26" s="1" t="n"/>
      <c r="B26" s="1" t="n"/>
      <c r="C26" s="1" t="n"/>
      <c r="D26" s="1" t="n"/>
      <c r="E26" s="1" t="n"/>
      <c r="F26" s="1" t="n"/>
      <c r="G26" s="1" t="n"/>
    </row>
    <row r="27" ht="15" customHeight="1">
      <c r="A27" s="1" t="n"/>
      <c r="B27" s="1" t="n"/>
      <c r="C27" s="1" t="n"/>
      <c r="D27" s="1" t="n"/>
      <c r="E27" s="1" t="n"/>
      <c r="F27" s="1" t="n"/>
      <c r="G27" s="1" t="n"/>
    </row>
    <row r="28" ht="15" customHeight="1">
      <c r="A28" s="1" t="n"/>
      <c r="B28" s="1" t="n"/>
      <c r="C28" s="1" t="n"/>
      <c r="D28" s="1" t="n"/>
      <c r="E28" s="1" t="n"/>
      <c r="F28" s="1" t="n"/>
      <c r="G28" s="1" t="n"/>
    </row>
    <row r="29" ht="15" customHeight="1">
      <c r="A29" s="1" t="n"/>
      <c r="B29" s="1" t="n"/>
      <c r="C29" s="1" t="n"/>
      <c r="D29" s="1" t="n"/>
      <c r="E29" s="1" t="n"/>
      <c r="F29" s="1" t="n"/>
      <c r="G29" s="1" t="n"/>
    </row>
  </sheetData>
  <mergeCells count="3">
    <mergeCell ref="B3:G3"/>
    <mergeCell ref="B2:G2"/>
    <mergeCell ref="B5:G5"/>
  </mergeCells>
  <pageMargins left="0.75" right="0.75" top="1" bottom="1" header="0.5" footer="0.5"/>
</worksheet>
</file>

<file path=xl/worksheets/sheet2.xml><?xml version="1.0" encoding="utf-8"?>
<worksheet xmlns="http://schemas.openxmlformats.org/spreadsheetml/2006/main">
  <sheetPr>
    <tabColor rgb="0016A34A"/>
    <outlinePr summaryBelow="1" summaryRight="1"/>
    <pageSetUpPr/>
  </sheetPr>
  <dimension ref="A2:F20"/>
  <sheetViews>
    <sheetView showGridLines="0" workbookViewId="0">
      <selection activeCell="A1" sqref="A1"/>
    </sheetView>
  </sheetViews>
  <sheetFormatPr baseColWidth="8" defaultRowHeight="15"/>
  <cols>
    <col width="3" customWidth="1" min="1" max="1"/>
    <col width="26" customWidth="1" min="2" max="2"/>
    <col width="36" customWidth="1" min="3" max="3"/>
    <col width="28" customWidth="1" min="4" max="4"/>
    <col width="30" customWidth="1" min="5" max="5"/>
    <col width="20" customWidth="1" min="6" max="6"/>
  </cols>
  <sheetData>
    <row r="2" ht="22" customHeight="1">
      <c r="B2" s="13" t="inlineStr">
        <is>
          <t>What I Would Do Monday Morning</t>
        </is>
      </c>
    </row>
    <row r="3">
      <c r="B3" s="14" t="inlineStr">
        <is>
          <t>This workbook is a budget decision brief for Cape &amp; Cart, an anonymised portfolio scenario for a South African ecommerce H1 growth campaign: 1 Jan-30 Jun 2024.</t>
        </is>
      </c>
    </row>
    <row r="4" ht="42" customHeight="1">
      <c r="B4" s="15" t="inlineStr">
        <is>
          <t>Company story: Cape &amp; Cart began as a Cape Town marketplace for curated home, lifestyle, and everyday essentials. By H1 2024 it was scaling nationally, but leadership needed to know whether Search, YouTube, CM360, or DV360 deserved the next rand of budget.</t>
        </is>
      </c>
    </row>
    <row r="5" ht="42" customHeight="1">
      <c r="B5" s="15" t="inlineStr">
        <is>
          <t>Data scope: the repository contains 8,775 checked-in raw rows across GA4, Google Ads, and YouTube CSVs. The 523,480-row Bronze layer used in the report is a production-scale scenario metric for demonstrating the intended five-source architecture.</t>
        </is>
      </c>
    </row>
    <row r="7" ht="22" customHeight="1">
      <c r="A7" s="16" t="inlineStr"/>
      <c r="B7" s="16" t="inlineStr">
        <is>
          <t>Decision</t>
        </is>
      </c>
      <c r="C7" s="16" t="inlineStr">
        <is>
          <t>Evidence</t>
        </is>
      </c>
      <c r="D7" s="16" t="inlineStr">
        <is>
          <t>Action</t>
        </is>
      </c>
      <c r="E7" s="16" t="inlineStr">
        <is>
          <t>Why it matters</t>
        </is>
      </c>
      <c r="F7" s="16" t="inlineStr">
        <is>
          <t>Owner</t>
        </is>
      </c>
    </row>
    <row r="8" ht="36" customHeight="1">
      <c r="A8" s="17" t="inlineStr"/>
      <c r="B8" s="18" t="inlineStr">
        <is>
          <t>Protect Search scale</t>
        </is>
      </c>
      <c r="C8" s="19" t="inlineStr">
        <is>
          <t>Google Ads ROAS 4.2x on R682K spend</t>
        </is>
      </c>
      <c r="D8" s="19" t="inlineStr">
        <is>
          <t>Increase budget only with marginal ROAS monitoring</t>
        </is>
      </c>
      <c r="E8" s="19" t="inlineStr">
        <is>
          <t>Search is strongest, but may be receiving credit created by YouTube</t>
        </is>
      </c>
      <c r="F8" s="19" t="inlineStr">
        <is>
          <t>Growth + Analytics</t>
        </is>
      </c>
    </row>
    <row r="9" ht="36" customHeight="1">
      <c r="A9" s="20" t="inlineStr"/>
      <c r="B9" s="21" t="inlineStr">
        <is>
          <t>Do not cut YouTube yet</t>
        </is>
      </c>
      <c r="C9" s="22" t="inlineStr">
        <is>
          <t>2.9x last-click ROAS; 1.89M impressions</t>
        </is>
      </c>
      <c r="D9" s="22" t="inlineStr">
        <is>
          <t>Add view-through conversions before budget reduction</t>
        </is>
      </c>
      <c r="E9" s="22" t="inlineStr">
        <is>
          <t>Awareness is under-counted when last click gives Search the conversion</t>
        </is>
      </c>
      <c r="F9" s="22" t="inlineStr">
        <is>
          <t>Marketing Ops</t>
        </is>
      </c>
    </row>
    <row r="10" ht="36" customHeight="1">
      <c r="A10" s="17" t="inlineStr"/>
      <c r="B10" s="18" t="inlineStr">
        <is>
          <t>Recover abandoned carts</t>
        </is>
      </c>
      <c r="C10" s="19" t="inlineStr">
        <is>
          <t>16.8K add-to-cart users did not purchase</t>
        </is>
      </c>
      <c r="D10" s="19" t="inlineStr">
        <is>
          <t>Export GA4 audience to DV360 and bid up on warm users</t>
        </is>
      </c>
      <c r="E10" s="19" t="inlineStr">
        <is>
          <t>This is the highest-intent audience not currently separated</t>
        </is>
      </c>
      <c r="F10" s="19" t="inlineStr">
        <is>
          <t>Lifecycle + Paid Media</t>
        </is>
      </c>
    </row>
    <row r="11" ht="36" customHeight="1">
      <c r="A11" s="20" t="inlineStr"/>
      <c r="B11" s="21" t="inlineStr">
        <is>
          <t>Fix source quality</t>
        </is>
      </c>
      <c r="C11" s="22" t="inlineStr">
        <is>
          <t>31,409 rows quarantined; YouTube date/channel issues</t>
        </is>
      </c>
      <c r="D11" s="22" t="inlineStr">
        <is>
          <t>Correct transfer configuration and monitor reject reasons</t>
        </is>
      </c>
      <c r="E11" s="22" t="inlineStr">
        <is>
          <t>Bad rows are not noise; they are missing attribution evidence</t>
        </is>
      </c>
      <c r="F11" s="22" t="inlineStr">
        <is>
          <t>Data Engineering</t>
        </is>
      </c>
    </row>
    <row r="15" ht="22" customHeight="1">
      <c r="B15" s="23" t="inlineStr">
        <is>
          <t>Trust Notes</t>
        </is>
      </c>
    </row>
    <row r="17" ht="22" customHeight="1">
      <c r="A17" s="24" t="inlineStr"/>
      <c r="B17" s="24" t="inlineStr">
        <is>
          <t>Risk</t>
        </is>
      </c>
      <c r="C17" s="24" t="inlineStr">
        <is>
          <t>Control</t>
        </is>
      </c>
      <c r="D17" s="24" t="inlineStr">
        <is>
          <t>Business Meaning</t>
        </is>
      </c>
    </row>
    <row r="18" ht="32" customHeight="1">
      <c r="A18" s="17" t="inlineStr"/>
      <c r="B18" s="25" t="inlineStr">
        <is>
          <t>Google Ads cost_micros</t>
        </is>
      </c>
      <c r="C18" s="19" t="inlineStr">
        <is>
          <t>Divide by 1,000,000 once in Silver</t>
        </is>
      </c>
      <c r="D18" s="19" t="inlineStr">
        <is>
          <t>Prevents ROAS from being destroyed by unit errors</t>
        </is>
      </c>
    </row>
    <row r="19" ht="32" customHeight="1">
      <c r="A19" s="20" t="inlineStr"/>
      <c r="B19" s="26" t="inlineStr">
        <is>
          <t>Last-click attribution</t>
        </is>
      </c>
      <c r="C19" s="22" t="inlineStr">
        <is>
          <t>Add YouTube view-through metrics</t>
        </is>
      </c>
      <c r="D19" s="22" t="inlineStr">
        <is>
          <t>Stops awareness spend from looking weaker than it is</t>
        </is>
      </c>
    </row>
    <row r="20" ht="32" customHeight="1">
      <c r="A20" s="17" t="inlineStr"/>
      <c r="B20" s="25" t="inlineStr">
        <is>
          <t>Consent Mode modelling</t>
        </is>
      </c>
      <c r="C20" s="19" t="inlineStr">
        <is>
          <t>Track consent-rate drift</t>
        </is>
      </c>
      <c r="D20" s="19" t="inlineStr">
        <is>
          <t>Keeps segment-level ROAS caveated when modelled data rises</t>
        </is>
      </c>
    </row>
  </sheetData>
  <mergeCells count="2">
    <mergeCell ref="B4:F4"/>
    <mergeCell ref="B5:F5"/>
  </mergeCell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2:I30"/>
  <sheetViews>
    <sheetView showGridLines="0" workbookViewId="0">
      <selection activeCell="A1" sqref="A1"/>
    </sheetView>
  </sheetViews>
  <sheetFormatPr baseColWidth="8" defaultRowHeight="15"/>
  <cols>
    <col width="3" customWidth="1" min="1" max="1"/>
    <col width="28" customWidth="1" min="2" max="2"/>
    <col width="22" customWidth="1" min="3" max="3"/>
    <col width="18" customWidth="1" min="4" max="4"/>
    <col width="14" customWidth="1" min="5" max="5"/>
    <col width="16" customWidth="1" min="6" max="6"/>
    <col width="12" customWidth="1" min="7" max="7"/>
    <col width="12" customWidth="1" min="8" max="8"/>
  </cols>
  <sheetData>
    <row r="2" ht="22" customHeight="1">
      <c r="B2" s="13" t="inlineStr">
        <is>
          <t>Product Performance — Modelled Campaign Attribution</t>
        </is>
      </c>
    </row>
    <row r="3">
      <c r="B3" s="14" t="inlineStr">
        <is>
          <t>Product/order data now follows the documented ELT path: dirty Bronze ecommerce exports, 964 quarantined validation failures, clean Silver order lines, and Gold product performance for reporting.</t>
        </is>
      </c>
    </row>
    <row r="5" ht="22" customHeight="1">
      <c r="A5" s="16" t="inlineStr"/>
      <c r="B5" s="16" t="inlineStr">
        <is>
          <t>Product</t>
        </is>
      </c>
      <c r="C5" s="16" t="inlineStr">
        <is>
          <t>Category</t>
        </is>
      </c>
      <c r="D5" s="16" t="inlineStr">
        <is>
          <t>Lead Channel</t>
        </is>
      </c>
      <c r="E5" s="16" t="inlineStr">
        <is>
          <t>Spend</t>
        </is>
      </c>
      <c r="F5" s="16" t="inlineStr">
        <is>
          <t>Revenue</t>
        </is>
      </c>
      <c r="G5" s="16" t="inlineStr">
        <is>
          <t>ROAS</t>
        </is>
      </c>
      <c r="H5" s="16" t="inlineStr">
        <is>
          <t>Conv</t>
        </is>
      </c>
    </row>
    <row r="6" ht="24" customHeight="1">
      <c r="A6" s="17" t="inlineStr"/>
      <c r="B6" s="27" t="inlineStr">
        <is>
          <t>Bamboo Storage Set</t>
        </is>
      </c>
      <c r="C6" s="17" t="inlineStr">
        <is>
          <t>Home Organisation</t>
        </is>
      </c>
      <c r="D6" s="17" t="inlineStr">
        <is>
          <t>Google Ads</t>
        </is>
      </c>
      <c r="E6" s="17" t="n">
        <v>28400</v>
      </c>
      <c r="F6" s="17" t="n">
        <v>144800</v>
      </c>
      <c r="G6" s="28" t="inlineStr">
        <is>
          <t>5.1x</t>
        </is>
      </c>
      <c r="H6" s="17" t="n">
        <v>312</v>
      </c>
    </row>
    <row r="7" ht="24" customHeight="1">
      <c r="A7" s="20" t="inlineStr"/>
      <c r="B7" s="29" t="inlineStr">
        <is>
          <t>Loadshedding LED Lamp</t>
        </is>
      </c>
      <c r="C7" s="20" t="inlineStr">
        <is>
          <t>Home Essentials</t>
        </is>
      </c>
      <c r="D7" s="20" t="inlineStr">
        <is>
          <t>Google Ads</t>
        </is>
      </c>
      <c r="E7" s="20" t="n">
        <v>22600</v>
      </c>
      <c r="F7" s="20" t="n">
        <v>106200</v>
      </c>
      <c r="G7" s="30" t="inlineStr">
        <is>
          <t>4.7x</t>
        </is>
      </c>
      <c r="H7" s="20" t="n">
        <v>241</v>
      </c>
    </row>
    <row r="8" ht="24" customHeight="1">
      <c r="A8" s="17" t="inlineStr"/>
      <c r="B8" s="27" t="inlineStr">
        <is>
          <t>Cotton Bedding Bundle</t>
        </is>
      </c>
      <c r="C8" s="17" t="inlineStr">
        <is>
          <t>Bedroom</t>
        </is>
      </c>
      <c r="D8" s="17" t="inlineStr">
        <is>
          <t>CM360</t>
        </is>
      </c>
      <c r="E8" s="17" t="n">
        <v>31800</v>
      </c>
      <c r="F8" s="17" t="n">
        <v>139900</v>
      </c>
      <c r="G8" s="28" t="inlineStr">
        <is>
          <t>4.4x</t>
        </is>
      </c>
      <c r="H8" s="17" t="n">
        <v>198</v>
      </c>
    </row>
    <row r="9" ht="24" customHeight="1">
      <c r="A9" s="20" t="inlineStr"/>
      <c r="B9" s="29" t="inlineStr">
        <is>
          <t>Airtight Pantry Labels</t>
        </is>
      </c>
      <c r="C9" s="20" t="inlineStr">
        <is>
          <t>Kitchen</t>
        </is>
      </c>
      <c r="D9" s="20" t="inlineStr">
        <is>
          <t>Google Ads</t>
        </is>
      </c>
      <c r="E9" s="20" t="n">
        <v>12800</v>
      </c>
      <c r="F9" s="20" t="n">
        <v>55000</v>
      </c>
      <c r="G9" s="30" t="inlineStr">
        <is>
          <t>4.3x</t>
        </is>
      </c>
      <c r="H9" s="20" t="n">
        <v>356</v>
      </c>
    </row>
    <row r="10" ht="24" customHeight="1">
      <c r="A10" s="17" t="inlineStr"/>
      <c r="B10" s="27" t="inlineStr">
        <is>
          <t>Ceramic Dinner Set</t>
        </is>
      </c>
      <c r="C10" s="17" t="inlineStr">
        <is>
          <t>Kitchen</t>
        </is>
      </c>
      <c r="D10" s="17" t="inlineStr">
        <is>
          <t>CM360</t>
        </is>
      </c>
      <c r="E10" s="17" t="n">
        <v>24600</v>
      </c>
      <c r="F10" s="17" t="n">
        <v>101900</v>
      </c>
      <c r="G10" s="28" t="inlineStr">
        <is>
          <t>4.1x</t>
        </is>
      </c>
      <c r="H10" s="17" t="n">
        <v>144</v>
      </c>
    </row>
    <row r="11" ht="24" customHeight="1">
      <c r="A11" s="20" t="inlineStr"/>
      <c r="B11" s="29" t="inlineStr">
        <is>
          <t>Reusable Shopper Totes</t>
        </is>
      </c>
      <c r="C11" s="20" t="inlineStr">
        <is>
          <t>Lifestyle</t>
        </is>
      </c>
      <c r="D11" s="20" t="inlineStr">
        <is>
          <t>YouTube</t>
        </is>
      </c>
      <c r="E11" s="20" t="n">
        <v>9600</v>
      </c>
      <c r="F11" s="20" t="n">
        <v>38400</v>
      </c>
      <c r="G11" s="30" t="inlineStr">
        <is>
          <t>4.0x</t>
        </is>
      </c>
      <c r="H11" s="20" t="n">
        <v>420</v>
      </c>
    </row>
    <row r="12" ht="24" customHeight="1">
      <c r="A12" s="17" t="inlineStr"/>
      <c r="B12" s="27" t="inlineStr">
        <is>
          <t>Bath Towel Bundle</t>
        </is>
      </c>
      <c r="C12" s="17" t="inlineStr">
        <is>
          <t>Bathroom</t>
        </is>
      </c>
      <c r="D12" s="17" t="inlineStr">
        <is>
          <t>Google Ads</t>
        </is>
      </c>
      <c r="E12" s="17" t="n">
        <v>21400</v>
      </c>
      <c r="F12" s="17" t="n">
        <v>81300</v>
      </c>
      <c r="G12" s="28" t="inlineStr">
        <is>
          <t>3.8x</t>
        </is>
      </c>
      <c r="H12" s="17" t="n">
        <v>187</v>
      </c>
    </row>
    <row r="13" ht="24" customHeight="1">
      <c r="A13" s="20" t="inlineStr"/>
      <c r="B13" s="29" t="inlineStr">
        <is>
          <t>Desk Organiser</t>
        </is>
      </c>
      <c r="C13" s="20" t="inlineStr">
        <is>
          <t>Workspace</t>
        </is>
      </c>
      <c r="D13" s="20" t="inlineStr">
        <is>
          <t>DV360</t>
        </is>
      </c>
      <c r="E13" s="20" t="n">
        <v>15800</v>
      </c>
      <c r="F13" s="20" t="n">
        <v>58400</v>
      </c>
      <c r="G13" s="30" t="inlineStr">
        <is>
          <t>3.7x</t>
        </is>
      </c>
      <c r="H13" s="20" t="n">
        <v>166</v>
      </c>
    </row>
    <row r="14" ht="24" customHeight="1">
      <c r="A14" s="17" t="inlineStr"/>
      <c r="B14" s="27" t="inlineStr">
        <is>
          <t>Digital Kitchen Scale</t>
        </is>
      </c>
      <c r="C14" s="17" t="inlineStr">
        <is>
          <t>Kitchen</t>
        </is>
      </c>
      <c r="D14" s="17" t="inlineStr">
        <is>
          <t>Google Ads</t>
        </is>
      </c>
      <c r="E14" s="17" t="n">
        <v>13200</v>
      </c>
      <c r="F14" s="17" t="n">
        <v>47500</v>
      </c>
      <c r="G14" s="28" t="inlineStr">
        <is>
          <t>3.6x</t>
        </is>
      </c>
      <c r="H14" s="17" t="n">
        <v>132</v>
      </c>
    </row>
    <row r="15" ht="24" customHeight="1">
      <c r="A15" s="20" t="inlineStr"/>
      <c r="B15" s="29" t="inlineStr">
        <is>
          <t>Scented Candle Duo</t>
        </is>
      </c>
      <c r="C15" s="20" t="inlineStr">
        <is>
          <t>Lifestyle</t>
        </is>
      </c>
      <c r="D15" s="20" t="inlineStr">
        <is>
          <t>YouTube</t>
        </is>
      </c>
      <c r="E15" s="20" t="n">
        <v>8800</v>
      </c>
      <c r="F15" s="20" t="n">
        <v>29000</v>
      </c>
      <c r="G15" s="30" t="inlineStr">
        <is>
          <t>3.3x</t>
        </is>
      </c>
      <c r="H15" s="20" t="n">
        <v>254</v>
      </c>
    </row>
    <row r="18" ht="22" customHeight="1">
      <c r="B18" s="31" t="inlineStr">
        <is>
          <t>Worst 10 Products — Pause, Fix, or Retest</t>
        </is>
      </c>
    </row>
    <row r="20" ht="22" customHeight="1">
      <c r="A20" s="32" t="inlineStr"/>
      <c r="B20" s="32" t="inlineStr">
        <is>
          <t>Product</t>
        </is>
      </c>
      <c r="C20" s="32" t="inlineStr">
        <is>
          <t>Category</t>
        </is>
      </c>
      <c r="D20" s="32" t="inlineStr">
        <is>
          <t>Lead Channel</t>
        </is>
      </c>
      <c r="E20" s="32" t="inlineStr">
        <is>
          <t>Spend</t>
        </is>
      </c>
      <c r="F20" s="32" t="inlineStr">
        <is>
          <t>Revenue</t>
        </is>
      </c>
      <c r="G20" s="32" t="inlineStr">
        <is>
          <t>ROAS</t>
        </is>
      </c>
      <c r="H20" s="32" t="inlineStr">
        <is>
          <t>Conv</t>
        </is>
      </c>
      <c r="I20" t="inlineStr">
        <is>
          <t>ROAS numeric</t>
        </is>
      </c>
    </row>
    <row r="21" ht="24" customHeight="1">
      <c r="A21" s="17" t="inlineStr"/>
      <c r="B21" s="27" t="inlineStr">
        <is>
          <t>Outdoor Beanbag</t>
        </is>
      </c>
      <c r="C21" s="17" t="inlineStr">
        <is>
          <t>Outdoor</t>
        </is>
      </c>
      <c r="D21" s="17" t="inlineStr">
        <is>
          <t>DV360</t>
        </is>
      </c>
      <c r="E21" s="17" t="n">
        <v>18200</v>
      </c>
      <c r="F21" s="17" t="n">
        <v>9100</v>
      </c>
      <c r="G21" s="33" t="inlineStr">
        <is>
          <t>0.5x</t>
        </is>
      </c>
      <c r="H21" s="17" t="n">
        <v>12</v>
      </c>
      <c r="I21" t="n">
        <v>0.5</v>
      </c>
    </row>
    <row r="22" ht="24" customHeight="1">
      <c r="A22" s="20" t="inlineStr"/>
      <c r="B22" s="29" t="inlineStr">
        <is>
          <t>Glass Terrarium</t>
        </is>
      </c>
      <c r="C22" s="20" t="inlineStr">
        <is>
          <t>Decor</t>
        </is>
      </c>
      <c r="D22" s="20" t="inlineStr">
        <is>
          <t>DV360</t>
        </is>
      </c>
      <c r="E22" s="20" t="n">
        <v>9600</v>
      </c>
      <c r="F22" s="20" t="n">
        <v>6700</v>
      </c>
      <c r="G22" s="34" t="inlineStr">
        <is>
          <t>0.7x</t>
        </is>
      </c>
      <c r="H22" s="20" t="n">
        <v>18</v>
      </c>
      <c r="I22" t="n">
        <v>0.7</v>
      </c>
    </row>
    <row r="23" ht="24" customHeight="1">
      <c r="A23" s="17" t="inlineStr"/>
      <c r="B23" s="27" t="inlineStr">
        <is>
          <t>Luxury Throw Blanket</t>
        </is>
      </c>
      <c r="C23" s="17" t="inlineStr">
        <is>
          <t>Bedroom</t>
        </is>
      </c>
      <c r="D23" s="17" t="inlineStr">
        <is>
          <t>CM360</t>
        </is>
      </c>
      <c r="E23" s="17" t="n">
        <v>15800</v>
      </c>
      <c r="F23" s="17" t="n">
        <v>14200</v>
      </c>
      <c r="G23" s="33" t="inlineStr">
        <is>
          <t>0.9x</t>
        </is>
      </c>
      <c r="H23" s="17" t="n">
        <v>21</v>
      </c>
      <c r="I23" t="n">
        <v>0.9</v>
      </c>
    </row>
    <row r="24" ht="24" customHeight="1">
      <c r="A24" s="20" t="inlineStr"/>
      <c r="B24" s="29" t="inlineStr">
        <is>
          <t>Kids Tee Bundle</t>
        </is>
      </c>
      <c r="C24" s="20" t="inlineStr">
        <is>
          <t>Lifestyle</t>
        </is>
      </c>
      <c r="D24" s="20" t="inlineStr">
        <is>
          <t>YouTube</t>
        </is>
      </c>
      <c r="E24" s="20" t="n">
        <v>7400</v>
      </c>
      <c r="F24" s="20" t="n">
        <v>7200</v>
      </c>
      <c r="G24" s="34" t="inlineStr">
        <is>
          <t>1.0x</t>
        </is>
      </c>
      <c r="H24" s="20" t="n">
        <v>31</v>
      </c>
      <c r="I24" t="n">
        <v>1</v>
      </c>
    </row>
    <row r="25" ht="24" customHeight="1">
      <c r="A25" s="17" t="inlineStr"/>
      <c r="B25" s="27" t="inlineStr">
        <is>
          <t>Copper Water Bottle</t>
        </is>
      </c>
      <c r="C25" s="17" t="inlineStr">
        <is>
          <t>Kitchen</t>
        </is>
      </c>
      <c r="D25" s="17" t="inlineStr">
        <is>
          <t>DV360</t>
        </is>
      </c>
      <c r="E25" s="17" t="n">
        <v>11300</v>
      </c>
      <c r="F25" s="17" t="n">
        <v>12500</v>
      </c>
      <c r="G25" s="33" t="inlineStr">
        <is>
          <t>1.1x</t>
        </is>
      </c>
      <c r="H25" s="17" t="n">
        <v>42</v>
      </c>
      <c r="I25" t="n">
        <v>1.1</v>
      </c>
    </row>
    <row r="26" ht="24" customHeight="1">
      <c r="A26" s="20" t="inlineStr"/>
      <c r="B26" s="29" t="inlineStr">
        <is>
          <t>Minimal Wall Clock</t>
        </is>
      </c>
      <c r="C26" s="20" t="inlineStr">
        <is>
          <t>Decor</t>
        </is>
      </c>
      <c r="D26" s="20" t="inlineStr">
        <is>
          <t>CM360</t>
        </is>
      </c>
      <c r="E26" s="20" t="n">
        <v>8900</v>
      </c>
      <c r="F26" s="20" t="n">
        <v>10600</v>
      </c>
      <c r="G26" s="34" t="inlineStr">
        <is>
          <t>1.2x</t>
        </is>
      </c>
      <c r="H26" s="20" t="n">
        <v>19</v>
      </c>
      <c r="I26" t="n">
        <v>1.2</v>
      </c>
    </row>
    <row r="27" ht="24" customHeight="1">
      <c r="A27" s="17" t="inlineStr"/>
      <c r="B27" s="27" t="inlineStr">
        <is>
          <t>Round Pet Bed</t>
        </is>
      </c>
      <c r="C27" s="17" t="inlineStr">
        <is>
          <t>Pet</t>
        </is>
      </c>
      <c r="D27" s="17" t="inlineStr">
        <is>
          <t>DV360</t>
        </is>
      </c>
      <c r="E27" s="17" t="n">
        <v>13400</v>
      </c>
      <c r="F27" s="17" t="n">
        <v>17400</v>
      </c>
      <c r="G27" s="33" t="inlineStr">
        <is>
          <t>1.3x</t>
        </is>
      </c>
      <c r="H27" s="17" t="n">
        <v>27</v>
      </c>
      <c r="I27" t="n">
        <v>1.3</v>
      </c>
    </row>
    <row r="28" ht="24" customHeight="1">
      <c r="A28" s="20" t="inlineStr"/>
      <c r="B28" s="29" t="inlineStr">
        <is>
          <t>Yoga Mat</t>
        </is>
      </c>
      <c r="C28" s="20" t="inlineStr">
        <is>
          <t>Wellness</t>
        </is>
      </c>
      <c r="D28" s="20" t="inlineStr">
        <is>
          <t>YouTube</t>
        </is>
      </c>
      <c r="E28" s="20" t="n">
        <v>7800</v>
      </c>
      <c r="F28" s="20" t="n">
        <v>10900</v>
      </c>
      <c r="G28" s="34" t="inlineStr">
        <is>
          <t>1.4x</t>
        </is>
      </c>
      <c r="H28" s="20" t="n">
        <v>36</v>
      </c>
      <c r="I28" t="n">
        <v>1.4</v>
      </c>
    </row>
    <row r="29" ht="24" customHeight="1">
      <c r="A29" s="17" t="inlineStr"/>
      <c r="B29" s="27" t="inlineStr">
        <is>
          <t>Insulated Travel Mug</t>
        </is>
      </c>
      <c r="C29" s="17" t="inlineStr">
        <is>
          <t>Lifestyle</t>
        </is>
      </c>
      <c r="D29" s="17" t="inlineStr">
        <is>
          <t>DV360</t>
        </is>
      </c>
      <c r="E29" s="17" t="n">
        <v>10100</v>
      </c>
      <c r="F29" s="17" t="n">
        <v>15100</v>
      </c>
      <c r="G29" s="33" t="inlineStr">
        <is>
          <t>1.5x</t>
        </is>
      </c>
      <c r="H29" s="17" t="n">
        <v>48</v>
      </c>
      <c r="I29" t="n">
        <v>1.5</v>
      </c>
    </row>
    <row r="30" ht="24" customHeight="1">
      <c r="A30" s="20" t="inlineStr"/>
      <c r="B30" s="29" t="inlineStr">
        <is>
          <t>Decorative Vase</t>
        </is>
      </c>
      <c r="C30" s="20" t="inlineStr">
        <is>
          <t>Decor</t>
        </is>
      </c>
      <c r="D30" s="20" t="inlineStr">
        <is>
          <t>CM360</t>
        </is>
      </c>
      <c r="E30" s="20" t="n">
        <v>6200</v>
      </c>
      <c r="F30" s="20" t="n">
        <v>9900</v>
      </c>
      <c r="G30" s="34" t="inlineStr">
        <is>
          <t>1.6x</t>
        </is>
      </c>
      <c r="H30" s="20" t="n">
        <v>22</v>
      </c>
      <c r="I30" t="n">
        <v>1.6</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7C3AED"/>
    <outlinePr summaryBelow="1" summaryRight="1"/>
    <pageSetUpPr/>
  </sheetPr>
  <dimension ref="A2:I25"/>
  <sheetViews>
    <sheetView showGridLines="0" workbookViewId="0">
      <selection activeCell="A1" sqref="A1"/>
    </sheetView>
  </sheetViews>
  <sheetFormatPr baseColWidth="8" defaultRowHeight="15"/>
  <cols>
    <col width="3" customWidth="1" min="1" max="1"/>
    <col width="28" customWidth="1" min="2" max="2"/>
    <col width="24" customWidth="1" min="3" max="3"/>
    <col width="18" customWidth="1" min="4" max="4"/>
    <col width="14" customWidth="1" min="5" max="5"/>
    <col width="14" customWidth="1" min="6" max="6"/>
    <col width="14" customWidth="1" min="7" max="7"/>
    <col width="14" customWidth="1" min="8" max="8"/>
    <col width="14" customWidth="1" min="9" max="9"/>
  </cols>
  <sheetData>
    <row r="2" ht="22" customHeight="1">
      <c r="B2" s="35" t="inlineStr">
        <is>
          <t>ML Workbench — GCP Primary, Snowflake Validation</t>
        </is>
      </c>
    </row>
    <row r="3">
      <c r="B3" s="14" t="inlineStr">
        <is>
          <t>GCP remains the primary platform. Snowflake is used as a validation workbench to prove the curated Silver/Gold data and ML conclusions are portable. Metrics may differ by engine, but features, labels, and windows must match.</t>
        </is>
      </c>
    </row>
    <row r="5" ht="22" customHeight="1">
      <c r="A5" s="36" t="inlineStr"/>
      <c r="B5" s="36" t="inlineStr">
        <is>
          <t>Use Case</t>
        </is>
      </c>
      <c r="C5" s="36" t="inlineStr">
        <is>
          <t>Best Algorithm</t>
        </is>
      </c>
      <c r="D5" s="36" t="inlineStr">
        <is>
          <t>AUC</t>
        </is>
      </c>
      <c r="E5" s="36" t="inlineStr">
        <is>
          <t>Accuracy</t>
        </is>
      </c>
      <c r="F5" s="36" t="inlineStr">
        <is>
          <t>Precision</t>
        </is>
      </c>
      <c r="G5" s="36" t="inlineStr">
        <is>
          <t>Recall</t>
        </is>
      </c>
      <c r="H5" s="36" t="inlineStr">
        <is>
          <t>F1</t>
        </is>
      </c>
      <c r="I5" s="36" t="inlineStr">
        <is>
          <t>Action</t>
        </is>
      </c>
    </row>
    <row r="6" ht="30" customHeight="1">
      <c r="A6" s="17" t="inlineStr"/>
      <c r="B6" s="18" t="inlineStr">
        <is>
          <t>Purchase Propensity</t>
        </is>
      </c>
      <c r="C6" s="19" t="inlineStr">
        <is>
          <t>Logistic Scorecard</t>
        </is>
      </c>
      <c r="D6" s="19" t="n">
        <v>0.4565</v>
      </c>
      <c r="E6" s="19" t="n">
        <v>0.8109</v>
      </c>
      <c r="F6" s="19" t="n">
        <v>0.1878</v>
      </c>
      <c r="G6" s="19" t="n">
        <v>0.0202</v>
      </c>
      <c r="H6" s="19" t="n">
        <v>0.0364</v>
      </c>
      <c r="I6" s="19" t="inlineStr">
        <is>
          <t>Do not scale yet; add behaviour features</t>
        </is>
      </c>
    </row>
    <row r="7" ht="30" customHeight="1">
      <c r="A7" s="20" t="inlineStr"/>
      <c r="B7" s="21" t="inlineStr">
        <is>
          <t>Churn Risk</t>
        </is>
      </c>
      <c r="C7" s="22" t="inlineStr">
        <is>
          <t>Low-Value Lapse Rule</t>
        </is>
      </c>
      <c r="D7" s="22" t="n">
        <v>0.5038</v>
      </c>
      <c r="E7" s="22" t="n">
        <v>0.3642</v>
      </c>
      <c r="F7" s="22" t="n">
        <v>0.8202</v>
      </c>
      <c r="G7" s="22" t="n">
        <v>0.2879</v>
      </c>
      <c r="H7" s="22" t="n">
        <v>0.4262</v>
      </c>
      <c r="I7" s="22" t="inlineStr">
        <is>
          <t>Use only for cautious win-back/suppression tests</t>
        </is>
      </c>
    </row>
    <row r="10" ht="22" customHeight="1">
      <c r="B10" s="37" t="inlineStr">
        <is>
          <t>ROAS Forecast Algorithm Comparison</t>
        </is>
      </c>
    </row>
    <row r="12" ht="22" customHeight="1">
      <c r="A12" s="38" t="inlineStr"/>
      <c r="B12" s="38" t="inlineStr">
        <is>
          <t>Algorithm</t>
        </is>
      </c>
      <c r="C12" s="38" t="inlineStr">
        <is>
          <t>MAE</t>
        </is>
      </c>
      <c r="D12" s="38" t="inlineStr">
        <is>
          <t>RMSE</t>
        </is>
      </c>
      <c r="E12" s="38" t="inlineStr">
        <is>
          <t>R2</t>
        </is>
      </c>
      <c r="F12" s="38" t="inlineStr">
        <is>
          <t>Read</t>
        </is>
      </c>
    </row>
    <row r="13" ht="24" customHeight="1">
      <c r="A13" s="17" t="inlineStr"/>
      <c r="B13" s="27" t="inlineStr">
        <is>
          <t>Trend Projection</t>
        </is>
      </c>
      <c r="C13" s="17" t="n">
        <v>0.09810000000000001</v>
      </c>
      <c r="D13" s="17" t="n">
        <v>0.1238</v>
      </c>
      <c r="E13" s="17" t="n">
        <v>0.9429</v>
      </c>
      <c r="F13" s="17" t="inlineStr">
        <is>
          <t>Winner — lowest RMSE and highest R2</t>
        </is>
      </c>
    </row>
    <row r="14" ht="24" customHeight="1">
      <c r="A14" s="20" t="inlineStr"/>
      <c r="B14" s="29" t="inlineStr">
        <is>
          <t>Lag-1 Naive</t>
        </is>
      </c>
      <c r="C14" s="20" t="n">
        <v>0.13</v>
      </c>
      <c r="D14" s="20" t="n">
        <v>0.1378</v>
      </c>
      <c r="E14" s="20" t="n">
        <v>0.9292</v>
      </c>
      <c r="F14" s="20" t="inlineStr">
        <is>
          <t>Strong simple baseline</t>
        </is>
      </c>
    </row>
    <row r="15" ht="24" customHeight="1">
      <c r="A15" s="17" t="inlineStr"/>
      <c r="B15" s="27" t="inlineStr">
        <is>
          <t>Channel Average</t>
        </is>
      </c>
      <c r="C15" s="17" t="n">
        <v>0.125</v>
      </c>
      <c r="D15" s="17" t="n">
        <v>0.1516</v>
      </c>
      <c r="E15" s="17" t="n">
        <v>0.9156</v>
      </c>
      <c r="F15" s="17" t="inlineStr">
        <is>
          <t>Stable but less responsive</t>
        </is>
      </c>
    </row>
    <row r="16" ht="24" customHeight="1">
      <c r="A16" s="20" t="inlineStr"/>
      <c r="B16" s="29" t="inlineStr">
        <is>
          <t>Rolling-3 Average</t>
        </is>
      </c>
      <c r="C16" s="20" t="n">
        <v>0.1592</v>
      </c>
      <c r="D16" s="20" t="n">
        <v>0.1862</v>
      </c>
      <c r="E16" s="20" t="n">
        <v>0.8709</v>
      </c>
      <c r="F16" s="20" t="inlineStr">
        <is>
          <t>Too slow to react</t>
        </is>
      </c>
    </row>
    <row r="19" ht="22" customHeight="1">
      <c r="B19" s="13" t="inlineStr">
        <is>
          <t>July Budget Forecast — Best Model</t>
        </is>
      </c>
    </row>
    <row r="21" ht="22" customHeight="1">
      <c r="A21" s="16" t="inlineStr"/>
      <c r="B21" s="16" t="inlineStr">
        <is>
          <t>Channel</t>
        </is>
      </c>
      <c r="C21" s="16" t="inlineStr">
        <is>
          <t>June Actual ROAS</t>
        </is>
      </c>
      <c r="D21" s="16" t="inlineStr">
        <is>
          <t>July Predicted ROAS</t>
        </is>
      </c>
      <c r="E21" s="16" t="inlineStr">
        <is>
          <t>Action</t>
        </is>
      </c>
    </row>
    <row r="22" ht="24" customHeight="1">
      <c r="A22" s="17" t="inlineStr"/>
      <c r="B22" s="27" t="inlineStr">
        <is>
          <t>Google Ads</t>
        </is>
      </c>
      <c r="C22" s="17" t="n">
        <v>4.2</v>
      </c>
      <c r="D22" s="17" t="n">
        <v>4.2571</v>
      </c>
      <c r="E22" s="17" t="inlineStr">
        <is>
          <t>Scale +10%</t>
        </is>
      </c>
    </row>
    <row r="23" ht="24" customHeight="1">
      <c r="A23" s="20" t="inlineStr"/>
      <c r="B23" s="29" t="inlineStr">
        <is>
          <t>CM360</t>
        </is>
      </c>
      <c r="C23" s="20" t="n">
        <v>3.8</v>
      </c>
      <c r="D23" s="20" t="n">
        <v>3.8543</v>
      </c>
      <c r="E23" s="20" t="inlineStr">
        <is>
          <t>Hold/test creative</t>
        </is>
      </c>
    </row>
    <row r="24" ht="24" customHeight="1">
      <c r="A24" s="17" t="inlineStr"/>
      <c r="B24" s="27" t="inlineStr">
        <is>
          <t>DV360</t>
        </is>
      </c>
      <c r="C24" s="17" t="n">
        <v>3.4</v>
      </c>
      <c r="D24" s="17" t="n">
        <v>3.3114</v>
      </c>
      <c r="E24" s="17" t="inlineStr">
        <is>
          <t>Hold/test creative</t>
        </is>
      </c>
    </row>
    <row r="25" ht="24" customHeight="1">
      <c r="A25" s="20" t="inlineStr"/>
      <c r="B25" s="29" t="inlineStr">
        <is>
          <t>YouTube</t>
        </is>
      </c>
      <c r="C25" s="20" t="n">
        <v>2.9</v>
      </c>
      <c r="D25" s="20" t="n">
        <v>2.9714</v>
      </c>
      <c r="E25" s="20" t="inlineStr">
        <is>
          <t>Reduce -15% and fix audience</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D97706"/>
    <outlinePr summaryBelow="1" summaryRight="1"/>
    <pageSetUpPr/>
  </sheetPr>
  <dimension ref="A2:F24"/>
  <sheetViews>
    <sheetView showGridLines="0" workbookViewId="0">
      <selection activeCell="A1" sqref="A1"/>
    </sheetView>
  </sheetViews>
  <sheetFormatPr baseColWidth="8" defaultRowHeight="15"/>
  <cols>
    <col width="3" customWidth="1" min="1" max="1"/>
    <col width="22" customWidth="1" min="2" max="2"/>
    <col width="20" customWidth="1" min="3" max="3"/>
    <col width="18" customWidth="1" min="4" max="4"/>
    <col width="26" customWidth="1" min="5" max="5"/>
    <col width="22" customWidth="1" min="6" max="6"/>
  </cols>
  <sheetData>
    <row r="2" ht="22" customHeight="1">
      <c r="B2" s="37" t="inlineStr">
        <is>
          <t>Medallion Pipeline Summary</t>
        </is>
      </c>
    </row>
    <row r="3">
      <c r="B3" s="14" t="inlineStr">
        <is>
          <t>Bronze → Silver → Gold  ·  BigQuery Medallion Architecture  ·  H1 2024 campaign data</t>
        </is>
      </c>
    </row>
    <row r="5" ht="22" customHeight="1">
      <c r="A5" s="39" t="inlineStr"/>
      <c r="B5" s="39" t="inlineStr">
        <is>
          <t>Layer</t>
        </is>
      </c>
      <c r="C5" s="39" t="inlineStr">
        <is>
          <t>Dataset</t>
        </is>
      </c>
      <c r="D5" s="39" t="inlineStr">
        <is>
          <t>Row Volume</t>
        </is>
      </c>
      <c r="E5" s="39" t="inlineStr">
        <is>
          <t>Write Mode</t>
        </is>
      </c>
      <c r="F5" s="39" t="inlineStr">
        <is>
          <t>Primary Tool</t>
        </is>
      </c>
    </row>
    <row r="6" ht="18" customHeight="1">
      <c r="A6" s="17" t="inlineStr"/>
      <c r="B6" s="40" t="inlineStr">
        <is>
          <t>BRONZE</t>
        </is>
      </c>
      <c r="C6" s="17" t="inlineStr">
        <is>
          <t>marketing_bronze.*</t>
        </is>
      </c>
      <c r="D6" s="17" t="inlineStr">
        <is>
          <t>523,480 modelled rows</t>
        </is>
      </c>
      <c r="E6" s="17" t="inlineStr">
        <is>
          <t>Append (partitioned by date)</t>
        </is>
      </c>
      <c r="F6" s="17" t="inlineStr">
        <is>
          <t>BQ Data Transfer</t>
        </is>
      </c>
    </row>
    <row r="7" ht="18" customHeight="1">
      <c r="A7" s="20" t="inlineStr"/>
      <c r="B7" s="41" t="inlineStr">
        <is>
          <t>SILVER</t>
        </is>
      </c>
      <c r="C7" s="20" t="inlineStr">
        <is>
          <t>marketing_silver.*</t>
        </is>
      </c>
      <c r="D7" s="20" t="inlineStr">
        <is>
          <t>492,071 rows</t>
        </is>
      </c>
      <c r="E7" s="20" t="inlineStr">
        <is>
          <t>Incremental merge (unique_key)</t>
        </is>
      </c>
      <c r="F7" s="20" t="inlineStr">
        <is>
          <t>dbt staging models</t>
        </is>
      </c>
    </row>
    <row r="8" ht="18" customHeight="1">
      <c r="A8" s="17" t="inlineStr"/>
      <c r="B8" s="28" t="inlineStr">
        <is>
          <t>GOLD</t>
        </is>
      </c>
      <c r="C8" s="17" t="inlineStr">
        <is>
          <t>marketing_gold.*</t>
        </is>
      </c>
      <c r="D8" s="17" t="inlineStr">
        <is>
          <t>fct + rpt tables</t>
        </is>
      </c>
      <c r="E8" s="17" t="inlineStr">
        <is>
          <t>Full table overwrite</t>
        </is>
      </c>
      <c r="F8" s="17" t="inlineStr">
        <is>
          <t>dbt mart models</t>
        </is>
      </c>
    </row>
    <row r="11" ht="22" customHeight="1">
      <c r="B11" s="31" t="inlineStr">
        <is>
          <t>Beam Validation — Key Metrics</t>
        </is>
      </c>
    </row>
    <row r="13" ht="22" customHeight="1">
      <c r="A13" s="32" t="inlineStr"/>
      <c r="B13" s="32" t="inlineStr">
        <is>
          <t>Metric</t>
        </is>
      </c>
      <c r="C13" s="32" t="inlineStr">
        <is>
          <t>Count</t>
        </is>
      </c>
      <c r="D13" s="32" t="inlineStr">
        <is>
          <t>Pct</t>
        </is>
      </c>
      <c r="E13" s="32" t="inlineStr">
        <is>
          <t>Status</t>
        </is>
      </c>
    </row>
    <row r="14" ht="18" customHeight="1">
      <c r="A14" s="17" t="inlineStr"/>
      <c r="B14" s="17" t="inlineStr">
        <is>
          <t>Total Bronze rows ingested</t>
        </is>
      </c>
      <c r="C14" s="42" t="n">
        <v>523480</v>
      </c>
      <c r="D14" s="17" t="inlineStr">
        <is>
          <t>100.0%</t>
        </is>
      </c>
      <c r="E14" s="17" t="inlineStr">
        <is>
          <t>Ingested — STRING schema</t>
        </is>
      </c>
    </row>
    <row r="15" ht="18" customHeight="1">
      <c r="A15" s="20" t="inlineStr"/>
      <c r="B15" s="20" t="inlineStr">
        <is>
          <t>Silver — pass validation</t>
        </is>
      </c>
      <c r="C15" s="41" t="n">
        <v>492071</v>
      </c>
      <c r="D15" s="20" t="inlineStr">
        <is>
          <t>94.0%</t>
        </is>
      </c>
      <c r="E15" s="20" t="inlineStr">
        <is>
          <t>Valid rows — typed + deduped</t>
        </is>
      </c>
    </row>
    <row r="16" ht="18" customHeight="1">
      <c r="A16" s="17" t="inlineStr"/>
      <c r="B16" s="17" t="inlineStr">
        <is>
          <t>Quarantined — not dropped</t>
        </is>
      </c>
      <c r="C16" s="42" t="n">
        <v>31409</v>
      </c>
      <c r="D16" s="17" t="inlineStr">
        <is>
          <t>6.0%</t>
        </is>
      </c>
      <c r="E16" s="17" t="inlineStr">
        <is>
          <t>Auditable — reject_reason logged</t>
        </is>
      </c>
    </row>
    <row r="17" ht="18" customHeight="1">
      <c r="A17" s="20" t="inlineStr"/>
      <c r="B17" s="20" t="inlineStr">
        <is>
          <t>Deduplication removed</t>
        </is>
      </c>
      <c r="C17" s="41" t="n">
        <v>3847</v>
      </c>
      <c r="D17" s="20" t="inlineStr">
        <is>
          <t>0.7%</t>
        </is>
      </c>
      <c r="E17" s="20" t="inlineStr">
        <is>
          <t>Silver merge on unique_key</t>
        </is>
      </c>
    </row>
    <row r="18" ht="18" customHeight="1">
      <c r="A18" s="17" t="inlineStr"/>
      <c r="B18" s="17" t="inlineStr">
        <is>
          <t>dbt tests passed</t>
        </is>
      </c>
      <c r="C18" s="42" t="n">
        <v>18</v>
      </c>
      <c r="D18" s="17" t="inlineStr">
        <is>
          <t>100%</t>
        </is>
      </c>
      <c r="E18" s="17" t="inlineStr">
        <is>
          <t>not_null · unique · range checks</t>
        </is>
      </c>
    </row>
    <row r="22">
      <c r="B22" t="inlineStr">
        <is>
          <t>Bronze</t>
        </is>
      </c>
      <c r="C22" t="n">
        <v>523480</v>
      </c>
    </row>
    <row r="23">
      <c r="B23" t="inlineStr">
        <is>
          <t>Silver</t>
        </is>
      </c>
      <c r="C23" t="n">
        <v>492071</v>
      </c>
    </row>
    <row r="24">
      <c r="B24" t="inlineStr">
        <is>
          <t>Gold (fact)</t>
        </is>
      </c>
      <c r="C24" t="n">
        <v>90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2563EB"/>
    <outlinePr summaryBelow="1" summaryRight="1"/>
    <pageSetUpPr/>
  </sheetPr>
  <dimension ref="A2:I25"/>
  <sheetViews>
    <sheetView showGridLines="0" workbookViewId="0">
      <selection activeCell="A1" sqref="A1"/>
    </sheetView>
  </sheetViews>
  <sheetFormatPr baseColWidth="8" defaultRowHeight="15"/>
  <cols>
    <col width="3" customWidth="1" min="1" max="1"/>
    <col width="24" customWidth="1" min="2" max="2"/>
    <col width="14" customWidth="1" min="3" max="3"/>
    <col width="12" customWidth="1" min="4" max="4"/>
    <col width="10" customWidth="1" min="5" max="5"/>
    <col width="16" customWidth="1" min="6" max="6"/>
    <col width="14" customWidth="1" min="7" max="7"/>
    <col width="10" customWidth="1" min="8" max="8"/>
    <col width="12" customWidth="1" min="9" max="9"/>
  </cols>
  <sheetData>
    <row r="2" ht="22" customHeight="1">
      <c r="B2" s="37" t="inlineStr">
        <is>
          <t>Cross-Channel Performance — Gold Fact Table</t>
        </is>
      </c>
    </row>
    <row r="3">
      <c r="B3" s="14" t="inlineStr">
        <is>
          <t>Source: marketing_gold.fct_cross_channel_performance  ·  1 Jan-30 Jun 2024  ·  Blended ROAS 3.8×</t>
        </is>
      </c>
    </row>
    <row r="5" ht="22" customHeight="1">
      <c r="A5" s="39" t="inlineStr"/>
      <c r="B5" s="39" t="inlineStr">
        <is>
          <t>Channel</t>
        </is>
      </c>
      <c r="C5" s="39" t="inlineStr">
        <is>
          <t>Impressions</t>
        </is>
      </c>
      <c r="D5" s="39" t="inlineStr">
        <is>
          <t>Clicks</t>
        </is>
      </c>
      <c r="E5" s="39" t="inlineStr">
        <is>
          <t>CTR</t>
        </is>
      </c>
      <c r="F5" s="39" t="inlineStr">
        <is>
          <t>Spend (ZAR)</t>
        </is>
      </c>
      <c r="G5" s="39" t="inlineStr">
        <is>
          <t>Conversions</t>
        </is>
      </c>
      <c r="H5" s="39" t="inlineStr">
        <is>
          <t>ROAS</t>
        </is>
      </c>
      <c r="I5" s="39" t="inlineStr">
        <is>
          <t>Conv Rate</t>
        </is>
      </c>
    </row>
    <row r="6" ht="18" customHeight="1">
      <c r="A6" s="17" t="inlineStr"/>
      <c r="B6" s="43" t="inlineStr">
        <is>
          <t>Google Ads — Search</t>
        </is>
      </c>
      <c r="C6" s="17" t="n">
        <v>3850000</v>
      </c>
      <c r="D6" s="17" t="n">
        <v>77000</v>
      </c>
      <c r="E6" s="17" t="inlineStr">
        <is>
          <t>2.0%</t>
        </is>
      </c>
      <c r="F6" s="17" t="n">
        <v>682000</v>
      </c>
      <c r="G6" s="17" t="n">
        <v>924</v>
      </c>
      <c r="H6" s="28" t="n">
        <v>4.2</v>
      </c>
      <c r="I6" s="17" t="inlineStr">
        <is>
          <t>1.20%</t>
        </is>
      </c>
    </row>
    <row r="7" ht="18" customHeight="1">
      <c r="A7" s="20" t="inlineStr"/>
      <c r="B7" s="30" t="inlineStr">
        <is>
          <t>Campaign Manager 360</t>
        </is>
      </c>
      <c r="C7" s="20" t="n">
        <v>2140000</v>
      </c>
      <c r="D7" s="20" t="n">
        <v>28620</v>
      </c>
      <c r="E7" s="20" t="inlineStr">
        <is>
          <t>1.3%</t>
        </is>
      </c>
      <c r="F7" s="20" t="n">
        <v>341000</v>
      </c>
      <c r="G7" s="20" t="n">
        <v>411</v>
      </c>
      <c r="H7" s="41" t="n">
        <v>3.8</v>
      </c>
      <c r="I7" s="20" t="inlineStr">
        <is>
          <t>1.44%</t>
        </is>
      </c>
    </row>
    <row r="8" ht="18" customHeight="1">
      <c r="A8" s="17" t="inlineStr"/>
      <c r="B8" s="44" t="inlineStr">
        <is>
          <t>DV360 — Display</t>
        </is>
      </c>
      <c r="C8" s="17" t="n">
        <v>4210000</v>
      </c>
      <c r="D8" s="17" t="n">
        <v>42100</v>
      </c>
      <c r="E8" s="17" t="inlineStr">
        <is>
          <t>1.0%</t>
        </is>
      </c>
      <c r="F8" s="17" t="n">
        <v>278000</v>
      </c>
      <c r="G8" s="17" t="n">
        <v>337</v>
      </c>
      <c r="H8" s="40" t="n">
        <v>3.4</v>
      </c>
      <c r="I8" s="17" t="inlineStr">
        <is>
          <t>0.80%</t>
        </is>
      </c>
    </row>
    <row r="9" ht="18" customHeight="1">
      <c r="A9" s="20" t="inlineStr"/>
      <c r="B9" s="34" t="inlineStr">
        <is>
          <t>YouTube Analytics</t>
        </is>
      </c>
      <c r="C9" s="20" t="n">
        <v>1890000</v>
      </c>
      <c r="D9" s="20" t="n">
        <v>37800</v>
      </c>
      <c r="E9" s="20" t="inlineStr">
        <is>
          <t>2.0%</t>
        </is>
      </c>
      <c r="F9" s="20" t="n">
        <v>182000</v>
      </c>
      <c r="G9" s="20" t="n">
        <v>214</v>
      </c>
      <c r="H9" s="34" t="n">
        <v>2.9</v>
      </c>
      <c r="I9" s="20" t="inlineStr">
        <is>
          <t>0.57%</t>
        </is>
      </c>
    </row>
    <row r="10" ht="20" customHeight="1">
      <c r="A10" s="45" t="inlineStr"/>
      <c r="B10" s="45" t="inlineStr">
        <is>
          <t>TOTAL PAID</t>
        </is>
      </c>
      <c r="C10" s="45" t="inlineStr">
        <is>
          <t>12,090,000</t>
        </is>
      </c>
      <c r="D10" s="45" t="inlineStr">
        <is>
          <t>185,520</t>
        </is>
      </c>
      <c r="E10" s="45" t="inlineStr">
        <is>
          <t>1.5%</t>
        </is>
      </c>
      <c r="F10" s="45" t="inlineStr">
        <is>
          <t>R1,483,000</t>
        </is>
      </c>
      <c r="G10" s="45" t="inlineStr">
        <is>
          <t>1,886</t>
        </is>
      </c>
      <c r="H10" s="45" t="inlineStr">
        <is>
          <t>3.8×</t>
        </is>
      </c>
      <c r="I10" s="45" t="inlineStr">
        <is>
          <t>1.02%</t>
        </is>
      </c>
    </row>
    <row r="12" ht="16" customHeight="1">
      <c r="B12" s="46" t="inlineStr">
        <is>
          <t>INSIGHT: Google Ads delivers 49% of conversions on 46% of budget. DV360 delivers 17.9% of conversions on 18.8% of budget — efficiency gap of 0.9pts on R278K spend.</t>
        </is>
      </c>
    </row>
    <row r="15">
      <c r="B15" t="inlineStr">
        <is>
          <t>Google Ads</t>
        </is>
      </c>
      <c r="C15" t="n">
        <v>4.2</v>
      </c>
    </row>
    <row r="16">
      <c r="B16" t="inlineStr">
        <is>
          <t>CM360</t>
        </is>
      </c>
      <c r="C16" t="n">
        <v>3.8</v>
      </c>
    </row>
    <row r="17">
      <c r="B17" t="inlineStr">
        <is>
          <t>DV360</t>
        </is>
      </c>
      <c r="C17" t="n">
        <v>3.4</v>
      </c>
    </row>
    <row r="18">
      <c r="B18" t="inlineStr">
        <is>
          <t>YouTube</t>
        </is>
      </c>
      <c r="C18" t="n">
        <v>2.9</v>
      </c>
    </row>
    <row r="22">
      <c r="B22" t="inlineStr">
        <is>
          <t>Google Ads</t>
        </is>
      </c>
      <c r="C22" t="n">
        <v>3850000</v>
      </c>
    </row>
    <row r="23">
      <c r="B23" t="inlineStr">
        <is>
          <t>CM360</t>
        </is>
      </c>
      <c r="C23" t="n">
        <v>2140000</v>
      </c>
    </row>
    <row r="24">
      <c r="B24" t="inlineStr">
        <is>
          <t>DV360</t>
        </is>
      </c>
      <c r="C24" t="n">
        <v>4210000</v>
      </c>
    </row>
    <row r="25">
      <c r="B25" t="inlineStr">
        <is>
          <t>YouTube</t>
        </is>
      </c>
      <c r="C25" t="n">
        <v>1890000</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DC2626"/>
    <outlinePr summaryBelow="1" summaryRight="1"/>
    <pageSetUpPr/>
  </sheetPr>
  <dimension ref="A2:F31"/>
  <sheetViews>
    <sheetView showGridLines="0" workbookViewId="0">
      <selection activeCell="A1" sqref="A1"/>
    </sheetView>
  </sheetViews>
  <sheetFormatPr baseColWidth="8" defaultRowHeight="15"/>
  <cols>
    <col width="3" customWidth="1" min="1" max="1"/>
    <col width="26" customWidth="1" min="2" max="2"/>
    <col width="16" customWidth="1" min="3" max="3"/>
    <col width="20" customWidth="1" min="4" max="4"/>
    <col width="36" customWidth="1" min="5" max="5"/>
    <col width="14" customWidth="1" min="6" max="6"/>
  </cols>
  <sheetData>
    <row r="2" ht="22" customHeight="1">
      <c r="B2" s="31" t="inlineStr">
        <is>
          <t>Data Quality Report — Apache Beam Validation</t>
        </is>
      </c>
    </row>
    <row r="3">
      <c r="B3" s="14" t="inlineStr">
        <is>
          <t>ValidateAndTagRow DoFn  ·  Cloud Dataflow  ·  H1 2024 campaign data  ·  6.0% quarantine rate</t>
        </is>
      </c>
    </row>
    <row r="5" ht="22" customHeight="1">
      <c r="A5" s="32" t="inlineStr"/>
      <c r="B5" s="32" t="inlineStr">
        <is>
          <t>Source</t>
        </is>
      </c>
      <c r="C5" s="32" t="inlineStr">
        <is>
          <t>Total Rows</t>
        </is>
      </c>
      <c r="D5" s="32" t="inlineStr">
        <is>
          <t>Passed</t>
        </is>
      </c>
      <c r="E5" s="32" t="inlineStr">
        <is>
          <t>Quarantined</t>
        </is>
      </c>
      <c r="F5" s="32" t="inlineStr">
        <is>
          <t>Pass Rate</t>
        </is>
      </c>
    </row>
    <row r="6" ht="18" customHeight="1">
      <c r="A6" s="17" t="inlineStr"/>
      <c r="B6" s="17" t="inlineStr">
        <is>
          <t>GA4 Events</t>
        </is>
      </c>
      <c r="C6" s="17" t="n">
        <v>148920</v>
      </c>
      <c r="D6" s="17" t="n">
        <v>142161</v>
      </c>
      <c r="E6" s="17" t="n">
        <v>6759</v>
      </c>
      <c r="F6" s="28" t="inlineStr">
        <is>
          <t>95.5%</t>
        </is>
      </c>
    </row>
    <row r="7" ht="18" customHeight="1">
      <c r="A7" s="20" t="inlineStr"/>
      <c r="B7" s="20" t="inlineStr">
        <is>
          <t>Google Ads</t>
        </is>
      </c>
      <c r="C7" s="20" t="n">
        <v>89340</v>
      </c>
      <c r="D7" s="20" t="n">
        <v>83024</v>
      </c>
      <c r="E7" s="20" t="n">
        <v>6316</v>
      </c>
      <c r="F7" s="47" t="inlineStr">
        <is>
          <t>92.9%</t>
        </is>
      </c>
    </row>
    <row r="8" ht="18" customHeight="1">
      <c r="A8" s="17" t="inlineStr"/>
      <c r="B8" s="17" t="inlineStr">
        <is>
          <t>Campaign Manager 360</t>
        </is>
      </c>
      <c r="C8" s="17" t="n">
        <v>76850</v>
      </c>
      <c r="D8" s="17" t="n">
        <v>73490</v>
      </c>
      <c r="E8" s="17" t="n">
        <v>3360</v>
      </c>
      <c r="F8" s="28" t="inlineStr">
        <is>
          <t>95.6%</t>
        </is>
      </c>
    </row>
    <row r="9" ht="18" customHeight="1">
      <c r="A9" s="20" t="inlineStr"/>
      <c r="B9" s="20" t="inlineStr">
        <is>
          <t>DV360</t>
        </is>
      </c>
      <c r="C9" s="20" t="n">
        <v>112430</v>
      </c>
      <c r="D9" s="20" t="n">
        <v>105628</v>
      </c>
      <c r="E9" s="20" t="n">
        <v>6802</v>
      </c>
      <c r="F9" s="47" t="inlineStr">
        <is>
          <t>94.0%</t>
        </is>
      </c>
    </row>
    <row r="10" ht="18" customHeight="1">
      <c r="A10" s="17" t="inlineStr"/>
      <c r="B10" s="17" t="inlineStr">
        <is>
          <t>YouTube Analytics</t>
        </is>
      </c>
      <c r="C10" s="17" t="n">
        <v>95940</v>
      </c>
      <c r="D10" s="17" t="n">
        <v>87768</v>
      </c>
      <c r="E10" s="17" t="n">
        <v>8172</v>
      </c>
      <c r="F10" s="33" t="inlineStr">
        <is>
          <t>91.5%</t>
        </is>
      </c>
    </row>
    <row r="11" ht="20" customHeight="1">
      <c r="A11" s="45" t="inlineStr"/>
      <c r="B11" s="45" t="inlineStr">
        <is>
          <t>TOTAL</t>
        </is>
      </c>
      <c r="C11" s="45" t="inlineStr">
        <is>
          <t>523,480</t>
        </is>
      </c>
      <c r="D11" s="45" t="inlineStr">
        <is>
          <t>492,071</t>
        </is>
      </c>
      <c r="E11" s="45" t="inlineStr">
        <is>
          <t>31,409</t>
        </is>
      </c>
      <c r="F11" s="45" t="inlineStr">
        <is>
          <t>94.0%</t>
        </is>
      </c>
    </row>
    <row r="14" ht="22" customHeight="1">
      <c r="B14" s="23" t="inlineStr">
        <is>
          <t>Quarantine Issue Breakdown</t>
        </is>
      </c>
    </row>
    <row r="16" ht="22" customHeight="1">
      <c r="A16" s="24" t="inlineStr"/>
      <c r="B16" s="24" t="inlineStr">
        <is>
          <t>DQ Issue</t>
        </is>
      </c>
      <c r="C16" s="24" t="inlineStr">
        <is>
          <t>Row Count</t>
        </is>
      </c>
      <c r="D16" s="24" t="inlineStr">
        <is>
          <t>Affected Sources</t>
        </is>
      </c>
      <c r="E16" s="24" t="inlineStr">
        <is>
          <t>Root Cause &amp; Fix</t>
        </is>
      </c>
    </row>
    <row r="17" ht="18" customHeight="1">
      <c r="A17" s="17" t="inlineStr"/>
      <c r="B17" s="17" t="inlineStr">
        <is>
          <t>YouTube date format mismatch</t>
        </is>
      </c>
      <c r="C17" s="40" t="n">
        <v>3400</v>
      </c>
      <c r="D17" s="17" t="inlineStr">
        <is>
          <t>YouTube</t>
        </is>
      </c>
      <c r="E17" s="17" t="inlineStr">
        <is>
          <t>DD/MM/YYYY vs YYYY-MM-DD — fix at BQ Transfer config</t>
        </is>
      </c>
    </row>
    <row r="18" ht="18" customHeight="1">
      <c r="A18" s="20" t="inlineStr"/>
      <c r="B18" s="20" t="inlineStr">
        <is>
          <t>Missing required field</t>
        </is>
      </c>
      <c r="C18" s="47" t="n">
        <v>8310</v>
      </c>
      <c r="D18" s="20" t="inlineStr">
        <is>
          <t>Google Ads · YouTube</t>
        </is>
      </c>
      <c r="E18" s="20" t="inlineStr">
        <is>
          <t>NULL campaign_id or impressions — flagged in quarantine</t>
        </is>
      </c>
    </row>
    <row r="19" ht="18" customHeight="1">
      <c r="A19" s="17" t="inlineStr"/>
      <c r="B19" s="17" t="inlineStr">
        <is>
          <t>Negative impressions</t>
        </is>
      </c>
      <c r="C19" s="40" t="n">
        <v>6802</v>
      </c>
      <c r="D19" s="17" t="inlineStr">
        <is>
          <t>DV360</t>
        </is>
      </c>
      <c r="E19" s="17" t="inlineStr">
        <is>
          <t>DV360 billing adjustments — quarantined, not dropped</t>
        </is>
      </c>
    </row>
    <row r="20" ht="18" customHeight="1">
      <c r="A20" s="20" t="inlineStr"/>
      <c r="B20" s="20" t="inlineStr">
        <is>
          <t>Missing / invalid YouTube metadata</t>
        </is>
      </c>
      <c r="C20" s="47" t="n">
        <v>6138</v>
      </c>
      <c r="D20" s="20" t="inlineStr">
        <is>
          <t>YouTube</t>
        </is>
      </c>
      <c r="E20" s="20" t="inlineStr">
        <is>
          <t>Incomplete channel/video metadata — quarantined or imputed where recoverable</t>
        </is>
      </c>
    </row>
    <row r="21" ht="18" customHeight="1">
      <c r="A21" s="17" t="inlineStr"/>
      <c r="B21" s="17" t="inlineStr">
        <is>
          <t>Currency trailing whitespace</t>
        </is>
      </c>
      <c r="C21" s="40" t="n">
        <v>1840</v>
      </c>
      <c r="D21" s="17" t="inlineStr">
        <is>
          <t>Google Ads</t>
        </is>
      </c>
      <c r="E21" s="17" t="inlineStr">
        <is>
          <t>'ZAR ' → fixed with TRIM(UPPER()) in Beam DoFn</t>
        </is>
      </c>
    </row>
    <row r="22" ht="18" customHeight="1">
      <c r="A22" s="20" t="inlineStr"/>
      <c r="B22" s="20" t="inlineStr">
        <is>
          <t>NULL geo_id</t>
        </is>
      </c>
      <c r="C22" s="47" t="n">
        <v>6759</v>
      </c>
      <c r="D22" s="20" t="inlineStr">
        <is>
          <t>GA4</t>
        </is>
      </c>
      <c r="E22" s="20" t="inlineStr">
        <is>
          <t>Consent declined / VPN users — kept NULL, not imputed</t>
        </is>
      </c>
    </row>
    <row r="27">
      <c r="B27" t="inlineStr">
        <is>
          <t>GA4</t>
        </is>
      </c>
      <c r="C27" t="n">
        <v>6759</v>
      </c>
    </row>
    <row r="28">
      <c r="B28" t="inlineStr">
        <is>
          <t>Google Ads</t>
        </is>
      </c>
      <c r="C28" t="n">
        <v>6316</v>
      </c>
    </row>
    <row r="29">
      <c r="B29" t="inlineStr">
        <is>
          <t>CM360</t>
        </is>
      </c>
      <c r="C29" t="n">
        <v>3360</v>
      </c>
    </row>
    <row r="30">
      <c r="B30" t="inlineStr">
        <is>
          <t>DV360</t>
        </is>
      </c>
      <c r="C30" t="n">
        <v>6802</v>
      </c>
    </row>
    <row r="31">
      <c r="B31" t="inlineStr">
        <is>
          <t>YouTube</t>
        </is>
      </c>
      <c r="C31" t="n">
        <v>8172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16A34A"/>
    <outlinePr summaryBelow="1" summaryRight="1"/>
    <pageSetUpPr/>
  </sheetPr>
  <dimension ref="A2:F32"/>
  <sheetViews>
    <sheetView showGridLines="0" workbookViewId="0">
      <selection activeCell="A1" sqref="A1"/>
    </sheetView>
  </sheetViews>
  <sheetFormatPr baseColWidth="8" defaultRowHeight="15"/>
  <cols>
    <col width="3" customWidth="1" min="1" max="1"/>
    <col width="22" customWidth="1" min="2" max="2"/>
    <col width="16" customWidth="1" min="3" max="3"/>
    <col width="14" customWidth="1" min="4" max="4"/>
    <col width="16" customWidth="1" min="5" max="5"/>
    <col width="16" customWidth="1" min="6" max="6"/>
  </cols>
  <sheetData>
    <row r="2" ht="22" customHeight="1">
      <c r="B2" s="13" t="inlineStr">
        <is>
          <t>GA4 Event Summary — BigQuery Export</t>
        </is>
      </c>
    </row>
    <row r="3">
      <c r="B3" s="14" t="inlineStr">
        <is>
          <t>analytics_*.events_*  ·  1 Jan-30 Jun 2024  ·  South African ecommerce  ·  Organic CVR 2.5%</t>
        </is>
      </c>
    </row>
    <row r="5" ht="22" customHeight="1">
      <c r="A5" s="16" t="inlineStr"/>
      <c r="B5" s="16" t="inlineStr">
        <is>
          <t>Event Name</t>
        </is>
      </c>
      <c r="C5" s="16" t="inlineStr">
        <is>
          <t>Event Count</t>
        </is>
      </c>
      <c r="D5" s="16" t="inlineStr">
        <is>
          <t>Unique Users</t>
        </is>
      </c>
      <c r="E5" s="16" t="inlineStr">
        <is>
          <t>Avg Value (ZAR)</t>
        </is>
      </c>
      <c r="F5" s="16" t="inlineStr">
        <is>
          <t>Top Device</t>
        </is>
      </c>
    </row>
    <row r="6" ht="18" customHeight="1">
      <c r="A6" s="17" t="inlineStr"/>
      <c r="B6" s="17" t="inlineStr">
        <is>
          <t>session_start</t>
        </is>
      </c>
      <c r="C6" s="42" t="n">
        <v>480000</v>
      </c>
      <c r="D6" s="17" t="n">
        <v>142000</v>
      </c>
      <c r="E6" s="17" t="n">
        <v>0</v>
      </c>
      <c r="F6" s="17" t="inlineStr">
        <is>
          <t>Desktop</t>
        </is>
      </c>
    </row>
    <row r="7" ht="18" customHeight="1">
      <c r="A7" s="20" t="inlineStr"/>
      <c r="B7" s="20" t="inlineStr">
        <is>
          <t>page_view</t>
        </is>
      </c>
      <c r="C7" s="41" t="n">
        <v>1240000</v>
      </c>
      <c r="D7" s="20" t="n">
        <v>138500</v>
      </c>
      <c r="E7" s="20" t="n">
        <v>0</v>
      </c>
      <c r="F7" s="20" t="inlineStr">
        <is>
          <t>Desktop</t>
        </is>
      </c>
    </row>
    <row r="8" ht="18" customHeight="1">
      <c r="A8" s="17" t="inlineStr"/>
      <c r="B8" s="17" t="inlineStr">
        <is>
          <t>search</t>
        </is>
      </c>
      <c r="C8" s="42" t="n">
        <v>38400</v>
      </c>
      <c r="D8" s="17" t="n">
        <v>22100</v>
      </c>
      <c r="E8" s="17" t="n">
        <v>0</v>
      </c>
      <c r="F8" s="17" t="inlineStr">
        <is>
          <t>Mobile</t>
        </is>
      </c>
    </row>
    <row r="9" ht="18" customHeight="1">
      <c r="A9" s="20" t="inlineStr"/>
      <c r="B9" s="20" t="inlineStr">
        <is>
          <t>add_to_cart</t>
        </is>
      </c>
      <c r="C9" s="41" t="n">
        <v>61200</v>
      </c>
      <c r="D9" s="20" t="n">
        <v>29400</v>
      </c>
      <c r="E9" s="20" t="n">
        <v>52.4</v>
      </c>
      <c r="F9" s="20" t="inlineStr">
        <is>
          <t>Desktop</t>
        </is>
      </c>
    </row>
    <row r="10" ht="18" customHeight="1">
      <c r="A10" s="17" t="inlineStr"/>
      <c r="B10" s="17" t="inlineStr">
        <is>
          <t>begin_checkout</t>
        </is>
      </c>
      <c r="C10" s="42" t="n">
        <v>28900</v>
      </c>
      <c r="D10" s="17" t="n">
        <v>17800</v>
      </c>
      <c r="E10" s="17" t="n">
        <v>71.2</v>
      </c>
      <c r="F10" s="17" t="inlineStr">
        <is>
          <t>Desktop</t>
        </is>
      </c>
    </row>
    <row r="11" ht="18" customHeight="1">
      <c r="A11" s="20" t="inlineStr"/>
      <c r="B11" s="20" t="inlineStr">
        <is>
          <t>purchase</t>
        </is>
      </c>
      <c r="C11" s="41" t="n">
        <v>12100</v>
      </c>
      <c r="D11" s="20" t="n">
        <v>9800</v>
      </c>
      <c r="E11" s="20" t="n">
        <v>89.59999999999999</v>
      </c>
      <c r="F11" s="20" t="inlineStr">
        <is>
          <t>Desktop</t>
        </is>
      </c>
    </row>
    <row r="14" ht="22" customHeight="1">
      <c r="B14" s="37" t="inlineStr">
        <is>
          <t>Ecommerce Funnel — Session to Purchase</t>
        </is>
      </c>
    </row>
    <row r="16" ht="22" customHeight="1">
      <c r="A16" s="38" t="inlineStr"/>
      <c r="B16" s="38" t="inlineStr">
        <is>
          <t>Funnel Step</t>
        </is>
      </c>
      <c r="C16" s="38" t="inlineStr">
        <is>
          <t>Count</t>
        </is>
      </c>
      <c r="D16" s="38" t="inlineStr">
        <is>
          <t>Drop-off</t>
        </is>
      </c>
      <c r="E16" s="38" t="inlineStr">
        <is>
          <t>Cumulative Rate</t>
        </is>
      </c>
    </row>
    <row r="17" ht="18" customHeight="1">
      <c r="A17" s="17" t="inlineStr"/>
      <c r="B17" s="17" t="inlineStr">
        <is>
          <t>Sessions</t>
        </is>
      </c>
      <c r="C17" s="17" t="n">
        <v>480000</v>
      </c>
      <c r="D17" s="17" t="inlineStr">
        <is>
          <t>—</t>
        </is>
      </c>
      <c r="E17" s="28" t="inlineStr">
        <is>
          <t>100.0%</t>
        </is>
      </c>
    </row>
    <row r="18" ht="18" customHeight="1">
      <c r="A18" s="20" t="inlineStr"/>
      <c r="B18" s="20" t="inlineStr">
        <is>
          <t>Product views</t>
        </is>
      </c>
      <c r="C18" s="20" t="n">
        <v>214000</v>
      </c>
      <c r="D18" s="20" t="inlineStr">
        <is>
          <t>266,000</t>
        </is>
      </c>
      <c r="E18" s="30" t="inlineStr">
        <is>
          <t>44.6%</t>
        </is>
      </c>
    </row>
    <row r="19" ht="18" customHeight="1">
      <c r="A19" s="17" t="inlineStr"/>
      <c r="B19" s="17" t="inlineStr">
        <is>
          <t>Add to cart</t>
        </is>
      </c>
      <c r="C19" s="17" t="n">
        <v>61200</v>
      </c>
      <c r="D19" s="17" t="inlineStr">
        <is>
          <t>152,800</t>
        </is>
      </c>
      <c r="E19" s="28" t="inlineStr">
        <is>
          <t>12.8%</t>
        </is>
      </c>
    </row>
    <row r="20" ht="18" customHeight="1">
      <c r="A20" s="20" t="inlineStr"/>
      <c r="B20" s="20" t="inlineStr">
        <is>
          <t>Begin checkout</t>
        </is>
      </c>
      <c r="C20" s="20" t="n">
        <v>28900</v>
      </c>
      <c r="D20" s="20" t="inlineStr">
        <is>
          <t>32,300</t>
        </is>
      </c>
      <c r="E20" s="47" t="inlineStr">
        <is>
          <t>6.0%</t>
        </is>
      </c>
    </row>
    <row r="21" ht="18" customHeight="1">
      <c r="A21" s="17" t="inlineStr"/>
      <c r="B21" s="17" t="inlineStr">
        <is>
          <t>Purchase</t>
        </is>
      </c>
      <c r="C21" s="17" t="n">
        <v>12100</v>
      </c>
      <c r="D21" s="17" t="inlineStr">
        <is>
          <t>16,800</t>
        </is>
      </c>
      <c r="E21" s="33" t="inlineStr">
        <is>
          <t>2.5%</t>
        </is>
      </c>
    </row>
    <row r="23" ht="16" customHeight="1">
      <c r="B23" s="46" t="inlineStr">
        <is>
          <t>INSIGHT: 58% of users who begin checkout do not purchase. Checkout abandoners are the highest-intent retargeting segment — export this GA4 audience to DV360.</t>
        </is>
      </c>
    </row>
    <row r="27">
      <c r="B27" t="inlineStr">
        <is>
          <t>Jan</t>
        </is>
      </c>
      <c r="C27" t="n">
        <v>62000</v>
      </c>
    </row>
    <row r="28">
      <c r="B28" t="inlineStr">
        <is>
          <t>Feb</t>
        </is>
      </c>
      <c r="C28" t="n">
        <v>74000</v>
      </c>
    </row>
    <row r="29">
      <c r="B29" t="inlineStr">
        <is>
          <t>Mar</t>
        </is>
      </c>
      <c r="C29" t="n">
        <v>81000</v>
      </c>
    </row>
    <row r="30">
      <c r="B30" t="inlineStr">
        <is>
          <t>Apr</t>
        </is>
      </c>
      <c r="C30" t="n">
        <v>88000</v>
      </c>
    </row>
    <row r="31">
      <c r="B31" t="inlineStr">
        <is>
          <t>May</t>
        </is>
      </c>
      <c r="C31" t="n">
        <v>94000</v>
      </c>
    </row>
    <row r="32">
      <c r="B32" t="inlineStr">
        <is>
          <t>Jun</t>
        </is>
      </c>
      <c r="C32" t="n">
        <v>81000</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007C3AED"/>
    <outlinePr summaryBelow="1" summaryRight="1"/>
    <pageSetUpPr/>
  </sheetPr>
  <dimension ref="A2:F24"/>
  <sheetViews>
    <sheetView showGridLines="0" workbookViewId="0">
      <selection activeCell="A1" sqref="A1"/>
    </sheetView>
  </sheetViews>
  <sheetFormatPr baseColWidth="8" defaultRowHeight="15"/>
  <cols>
    <col width="3" customWidth="1" min="1" max="1"/>
    <col width="26" customWidth="1" min="2" max="2"/>
    <col width="20" customWidth="1" min="3" max="3"/>
    <col width="20" customWidth="1" min="4" max="4"/>
    <col width="20" customWidth="1" min="5" max="5"/>
    <col width="16" customWidth="1" min="6" max="6"/>
  </cols>
  <sheetData>
    <row r="2" ht="22" customHeight="1">
      <c r="B2" s="35" t="inlineStr">
        <is>
          <t>Airflow DAG — gcp_marketing_analytics_pipeline</t>
        </is>
      </c>
    </row>
    <row r="3">
      <c r="B3" s="14" t="inlineStr">
        <is>
          <t>Schedule: 04:00 UTC daily  ·  9 tasks  ·  4 task groups  ·  SLA: Gold ready by 08:00 SAST</t>
        </is>
      </c>
    </row>
    <row r="5" ht="22" customHeight="1">
      <c r="A5" s="36" t="inlineStr"/>
      <c r="B5" s="36" t="inlineStr">
        <is>
          <t>Task</t>
        </is>
      </c>
      <c r="C5" s="36" t="inlineStr">
        <is>
          <t>Task Group</t>
        </is>
      </c>
      <c r="D5" s="36" t="inlineStr">
        <is>
          <t>Operator Type</t>
        </is>
      </c>
      <c r="E5" s="36" t="inlineStr">
        <is>
          <t>Depends On</t>
        </is>
      </c>
      <c r="F5" s="36" t="inlineStr">
        <is>
          <t>Est. Duration</t>
        </is>
      </c>
    </row>
    <row r="6" ht="18" customHeight="1">
      <c r="A6" s="17" t="inlineStr"/>
      <c r="B6" s="17" t="inlineStr">
        <is>
          <t>trigger_ga4_transfer</t>
        </is>
      </c>
      <c r="C6" s="40" t="inlineStr">
        <is>
          <t>ingest</t>
        </is>
      </c>
      <c r="D6" s="17" t="inlineStr">
        <is>
          <t>BQ Data Transfer Operator</t>
        </is>
      </c>
      <c r="E6" s="17" t="inlineStr">
        <is>
          <t>—</t>
        </is>
      </c>
      <c r="F6" s="17" t="inlineStr">
        <is>
          <t>~2 min</t>
        </is>
      </c>
    </row>
    <row r="7" ht="18" customHeight="1">
      <c r="A7" s="20" t="inlineStr"/>
      <c r="B7" s="20" t="inlineStr">
        <is>
          <t>trigger_google_ads_transfer</t>
        </is>
      </c>
      <c r="C7" s="47" t="inlineStr">
        <is>
          <t>ingest</t>
        </is>
      </c>
      <c r="D7" s="20" t="inlineStr">
        <is>
          <t>BQ Data Transfer Operator</t>
        </is>
      </c>
      <c r="E7" s="20" t="inlineStr">
        <is>
          <t>—</t>
        </is>
      </c>
      <c r="F7" s="20" t="inlineStr">
        <is>
          <t>~2 min</t>
        </is>
      </c>
    </row>
    <row r="8" ht="18" customHeight="1">
      <c r="A8" s="17" t="inlineStr"/>
      <c r="B8" s="17" t="inlineStr">
        <is>
          <t>trigger_cm360_transfer</t>
        </is>
      </c>
      <c r="C8" s="40" t="inlineStr">
        <is>
          <t>ingest</t>
        </is>
      </c>
      <c r="D8" s="17" t="inlineStr">
        <is>
          <t>BQ Data Transfer Operator</t>
        </is>
      </c>
      <c r="E8" s="17" t="inlineStr">
        <is>
          <t>—</t>
        </is>
      </c>
      <c r="F8" s="17" t="inlineStr">
        <is>
          <t>~2 min</t>
        </is>
      </c>
    </row>
    <row r="9" ht="18" customHeight="1">
      <c r="A9" s="20" t="inlineStr"/>
      <c r="B9" s="20" t="inlineStr">
        <is>
          <t>trigger_dv360_transfer</t>
        </is>
      </c>
      <c r="C9" s="47" t="inlineStr">
        <is>
          <t>ingest</t>
        </is>
      </c>
      <c r="D9" s="20" t="inlineStr">
        <is>
          <t>BQ Data Transfer Operator</t>
        </is>
      </c>
      <c r="E9" s="20" t="inlineStr">
        <is>
          <t>—</t>
        </is>
      </c>
      <c r="F9" s="20" t="inlineStr">
        <is>
          <t>~3 min</t>
        </is>
      </c>
    </row>
    <row r="10" ht="18" customHeight="1">
      <c r="A10" s="17" t="inlineStr"/>
      <c r="B10" s="17" t="inlineStr">
        <is>
          <t>trigger_youtube_transfer</t>
        </is>
      </c>
      <c r="C10" s="40" t="inlineStr">
        <is>
          <t>ingest</t>
        </is>
      </c>
      <c r="D10" s="17" t="inlineStr">
        <is>
          <t>BQ Data Transfer Operator</t>
        </is>
      </c>
      <c r="E10" s="17" t="inlineStr">
        <is>
          <t>—</t>
        </is>
      </c>
      <c r="F10" s="17" t="inlineStr">
        <is>
          <t>~2 min</t>
        </is>
      </c>
    </row>
    <row r="11" ht="18" customHeight="1">
      <c r="A11" s="20" t="inlineStr"/>
      <c r="B11" s="20" t="inlineStr">
        <is>
          <t>run_beam_pipeline</t>
        </is>
      </c>
      <c r="C11" s="34" t="inlineStr">
        <is>
          <t>validate</t>
        </is>
      </c>
      <c r="D11" s="20" t="inlineStr">
        <is>
          <t>PythonOperator (DataflowHook)</t>
        </is>
      </c>
      <c r="E11" s="20" t="inlineStr">
        <is>
          <t>ingest (all 5)</t>
        </is>
      </c>
      <c r="F11" s="20" t="inlineStr">
        <is>
          <t>~8 min</t>
        </is>
      </c>
    </row>
    <row r="12" ht="18" customHeight="1">
      <c r="A12" s="17" t="inlineStr"/>
      <c r="B12" s="17" t="inlineStr">
        <is>
          <t>dbt_run_staging_models</t>
        </is>
      </c>
      <c r="C12" s="42" t="inlineStr">
        <is>
          <t>transform</t>
        </is>
      </c>
      <c r="D12" s="17" t="inlineStr">
        <is>
          <t>BashOperator (dbt run)</t>
        </is>
      </c>
      <c r="E12" s="17" t="inlineStr">
        <is>
          <t>validate</t>
        </is>
      </c>
      <c r="F12" s="17" t="inlineStr">
        <is>
          <t>~4 min</t>
        </is>
      </c>
    </row>
    <row r="13" ht="18" customHeight="1">
      <c r="A13" s="20" t="inlineStr"/>
      <c r="B13" s="20" t="inlineStr">
        <is>
          <t>dbt_test_staging_models</t>
        </is>
      </c>
      <c r="C13" s="41" t="inlineStr">
        <is>
          <t>transform</t>
        </is>
      </c>
      <c r="D13" s="20" t="inlineStr">
        <is>
          <t>BashOperator (dbt test)</t>
        </is>
      </c>
      <c r="E13" s="20" t="inlineStr">
        <is>
          <t>dbt_run_staging</t>
        </is>
      </c>
      <c r="F13" s="20" t="inlineStr">
        <is>
          <t>~2 min</t>
        </is>
      </c>
    </row>
    <row r="14" ht="18" customHeight="1">
      <c r="A14" s="17" t="inlineStr"/>
      <c r="B14" s="17" t="inlineStr">
        <is>
          <t>build_gold_fact_table</t>
        </is>
      </c>
      <c r="C14" s="28" t="inlineStr">
        <is>
          <t>gold</t>
        </is>
      </c>
      <c r="D14" s="17" t="inlineStr">
        <is>
          <t>BashOperator (dbt run)</t>
        </is>
      </c>
      <c r="E14" s="17" t="inlineStr">
        <is>
          <t>transform</t>
        </is>
      </c>
      <c r="F14" s="17" t="inlineStr">
        <is>
          <t>~3 min</t>
        </is>
      </c>
    </row>
    <row r="15" ht="20" customHeight="1">
      <c r="A15" s="45" t="inlineStr"/>
      <c r="B15" s="45" t="inlineStr">
        <is>
          <t>TOTAL</t>
        </is>
      </c>
      <c r="C15" s="45" t="inlineStr">
        <is>
          <t>4 task groups</t>
        </is>
      </c>
      <c r="D15" s="45" t="inlineStr">
        <is>
          <t>9 tasks</t>
        </is>
      </c>
      <c r="E15" s="45" t="inlineStr">
        <is>
          <t>Sequential + parallel</t>
        </is>
      </c>
      <c r="F15" s="45" t="inlineStr">
        <is>
          <t>~28 min</t>
        </is>
      </c>
    </row>
    <row r="17" ht="16" customHeight="1">
      <c r="B17" s="46" t="inlineStr">
        <is>
          <t>DESIGN PRINCIPLE: Gold layer is fully overwritten (not appended) on each run — ensures idempotency and correct handling of late-arriving DV360 billing adjustments.</t>
        </is>
      </c>
    </row>
    <row r="21">
      <c r="B21" t="inlineStr">
        <is>
          <t>ingest</t>
        </is>
      </c>
      <c r="C21" t="n">
        <v>3</v>
      </c>
    </row>
    <row r="22">
      <c r="B22" t="inlineStr">
        <is>
          <t>validate</t>
        </is>
      </c>
      <c r="C22" t="n">
        <v>8</v>
      </c>
    </row>
    <row r="23">
      <c r="B23" t="inlineStr">
        <is>
          <t>transform</t>
        </is>
      </c>
      <c r="C23" t="n">
        <v>6</v>
      </c>
    </row>
    <row r="24">
      <c r="B24" t="inlineStr">
        <is>
          <t>gold</t>
        </is>
      </c>
      <c r="C24" t="n">
        <v>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2026-06-18T21:14:57Z</dcterms:created>
  <dcterms:modified xsi:type="dcterms:W3CDTF">2026-06-18T21:15:00Z</dcterms:modified>
</cp:coreProperties>
</file>