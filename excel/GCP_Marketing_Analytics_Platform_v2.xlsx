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name="Cover" sheetId="1" state="visible" r:id="rId1"/>
    <sheet name="Pipeline Summary" sheetId="2" state="visible" r:id="rId2"/>
    <sheet name="Channel Performance" sheetId="3" state="visible" r:id="rId3"/>
    <sheet name="DQ Report" sheetId="4" state="visible" r:id="rId4"/>
    <sheet name="GA4 Events" sheetId="5" state="visible" r:id="rId5"/>
    <sheet name="Airflow DAG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Calibri"/>
      <b val="1"/>
      <color rgb="FFF1F5F9"/>
      <sz val="22"/>
    </font>
    <font>
      <name val="Calibri"/>
      <color rgb="FF94A3B8"/>
      <sz val="11"/>
    </font>
    <font>
      <name val="Calibri"/>
      <i val="1"/>
      <color rgb="FF06B6D4"/>
      <sz val="10"/>
    </font>
    <font>
      <name val="Calibri"/>
      <b val="1"/>
      <color rgb="FFF59E0B"/>
      <sz val="18"/>
    </font>
    <font>
      <name val="Calibri"/>
      <color rgb="FF4B5563"/>
      <sz val="8"/>
    </font>
    <font>
      <name val="Calibri"/>
      <b val="1"/>
      <color rgb="FF06B6D4"/>
      <sz val="18"/>
    </font>
    <font>
      <name val="Calibri"/>
      <b val="1"/>
      <color rgb="FF10B981"/>
      <sz val="18"/>
    </font>
    <font>
      <name val="Calibri"/>
      <b val="1"/>
      <color rgb="FF8B5CF6"/>
      <sz val="18"/>
    </font>
    <font>
      <name val="Calibri"/>
      <b val="1"/>
      <color rgb="FF3B82F6"/>
      <sz val="18"/>
    </font>
    <font>
      <name val="Calibri"/>
      <b val="1"/>
      <color rgb="FF06B6D4"/>
      <sz val="10"/>
    </font>
    <font>
      <name val="Calibri"/>
      <color rgb="FF3B82F6"/>
      <sz val="9"/>
    </font>
    <font>
      <name val="Calibri"/>
      <b val="1"/>
      <color rgb="FF06B6D4"/>
      <sz val="12"/>
    </font>
    <font>
      <name val="Calibri"/>
      <i val="1"/>
      <color rgb="FF94A3B8"/>
      <sz val="9"/>
    </font>
    <font>
      <name val="Calibri"/>
      <b val="1"/>
      <color rgb="FF06B6D4"/>
      <sz val="9"/>
    </font>
    <font>
      <name val="Calibri"/>
      <color rgb="FF94A3B8"/>
      <sz val="9"/>
    </font>
    <font>
      <name val="Calibri"/>
      <b val="1"/>
      <color rgb="FFF59E0B"/>
      <sz val="9"/>
    </font>
    <font>
      <name val="Calibri"/>
      <b val="1"/>
      <color rgb="FF10B981"/>
      <sz val="9"/>
    </font>
    <font>
      <name val="Calibri"/>
      <b val="1"/>
      <color rgb="FFEF4444"/>
      <sz val="12"/>
    </font>
    <font>
      <name val="Calibri"/>
      <b val="1"/>
      <color rgb="FF3B82F6"/>
      <sz val="9"/>
    </font>
    <font>
      <name val="Calibri"/>
      <b val="1"/>
      <color rgb="FF8B5CF6"/>
      <sz val="9"/>
    </font>
    <font>
      <name val="Calibri"/>
      <b val="1"/>
      <color rgb="FFEF4444"/>
      <sz val="9"/>
    </font>
    <font>
      <name val="Calibri"/>
      <b val="1"/>
      <color rgb="FFF1F5F9"/>
      <sz val="9"/>
    </font>
    <font>
      <name val="Calibri"/>
      <i val="1"/>
      <color rgb="FFF59E0B"/>
      <sz val="8"/>
    </font>
    <font>
      <name val="Calibri"/>
      <b val="1"/>
      <color rgb="FFF59E0B"/>
      <sz val="12"/>
    </font>
    <font>
      <name val="Calibri"/>
      <b val="1"/>
      <color rgb="FF10B981"/>
      <sz val="12"/>
    </font>
    <font>
      <name val="Calibri"/>
      <b val="1"/>
      <color rgb="FF8B5CF6"/>
      <sz val="12"/>
    </font>
    <font>
      <name val="Calibri"/>
      <i val="1"/>
      <color rgb="FF7F6000"/>
      <sz val="10"/>
    </font>
  </fonts>
  <fills count="11">
    <fill>
      <patternFill/>
    </fill>
    <fill>
      <patternFill patternType="gray125"/>
    </fill>
    <fill>
      <patternFill patternType="solid">
        <fgColor rgb="FF0D1117"/>
      </patternFill>
    </fill>
    <fill>
      <patternFill patternType="solid">
        <fgColor rgb="FF161B22"/>
      </patternFill>
    </fill>
    <fill>
      <patternFill patternType="solid">
        <fgColor rgb="FF1C2333"/>
      </patternFill>
    </fill>
    <fill>
      <patternFill patternType="solid">
        <fgColor rgb="FFEF4444"/>
      </patternFill>
    </fill>
    <fill>
      <patternFill patternType="solid">
        <fgColor rgb="FFF59E0B"/>
      </patternFill>
    </fill>
    <fill>
      <patternFill patternType="solid">
        <fgColor rgb="FF10B981"/>
      </patternFill>
    </fill>
    <fill>
      <patternFill patternType="solid">
        <fgColor rgb="FF06B6D4"/>
      </patternFill>
    </fill>
    <fill>
      <patternFill patternType="solid">
        <fgColor rgb="FF8B5CF6"/>
      </patternFill>
    </fill>
    <fill>
      <patternFill patternType="solid">
        <fgColor rgb="FFFFF2CC"/>
      </patternFill>
    </fill>
  </fills>
  <borders count="8">
    <border>
      <left/>
      <right/>
      <top/>
      <bottom/>
      <diagonal/>
    </border>
    <border>
      <left style="medium">
        <color rgb="FFF59E0B"/>
      </left>
      <right style="medium">
        <color rgb="FFF59E0B"/>
      </right>
      <top style="medium">
        <color rgb="FFF59E0B"/>
      </top>
      <bottom style="medium">
        <color rgb="FFF59E0B"/>
      </bottom>
      <diagonal/>
    </border>
    <border>
      <left style="hair">
        <color rgb="FF30363D"/>
      </left>
      <right style="hair">
        <color rgb="FF30363D"/>
      </right>
      <top style="hair">
        <color rgb="FF30363D"/>
      </top>
      <bottom style="hair">
        <color rgb="FF30363D"/>
      </bottom>
      <diagonal/>
    </border>
    <border>
      <left style="medium">
        <color rgb="FF06B6D4"/>
      </left>
      <right style="medium">
        <color rgb="FF06B6D4"/>
      </right>
      <top style="medium">
        <color rgb="FF06B6D4"/>
      </top>
      <bottom style="medium">
        <color rgb="FF06B6D4"/>
      </bottom>
      <diagonal/>
    </border>
    <border>
      <left style="medium">
        <color rgb="FF10B981"/>
      </left>
      <right style="medium">
        <color rgb="FF10B981"/>
      </right>
      <top style="medium">
        <color rgb="FF10B981"/>
      </top>
      <bottom style="medium">
        <color rgb="FF10B981"/>
      </bottom>
      <diagonal/>
    </border>
    <border>
      <left style="medium">
        <color rgb="FF8B5CF6"/>
      </left>
      <right style="medium">
        <color rgb="FF8B5CF6"/>
      </right>
      <top style="medium">
        <color rgb="FF8B5CF6"/>
      </top>
      <bottom style="medium">
        <color rgb="FF8B5CF6"/>
      </bottom>
      <diagonal/>
    </border>
    <border>
      <left style="medium">
        <color rgb="FF3B82F6"/>
      </left>
      <right style="medium">
        <color rgb="FF3B82F6"/>
      </right>
      <top style="medium">
        <color rgb="FF3B82F6"/>
      </top>
      <bottom style="medium">
        <color rgb="FF3B82F6"/>
      </bottom>
      <diagonal/>
    </border>
    <border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6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10" fillId="2" borderId="0" pivotButton="0" quotePrefix="0" xfId="0"/>
    <xf numFmtId="0" fontId="11" fillId="2" borderId="0" pivotButton="0" quotePrefix="0" xfId="0"/>
    <xf numFmtId="0" fontId="12" fillId="2" borderId="0" pivotButton="0" quotePrefix="0" xfId="0"/>
    <xf numFmtId="0" fontId="13" fillId="2" borderId="0" pivotButton="0" quotePrefix="0" xfId="0"/>
    <xf numFmtId="0" fontId="14" fillId="2" borderId="7" applyAlignment="1" pivotButton="0" quotePrefix="0" xfId="0">
      <alignment horizontal="center" vertical="center"/>
    </xf>
    <xf numFmtId="0" fontId="15" fillId="3" borderId="2" applyAlignment="1" pivotButton="0" quotePrefix="0" xfId="0">
      <alignment horizontal="left" vertical="center"/>
    </xf>
    <xf numFmtId="0" fontId="16" fillId="3" borderId="2" applyAlignment="1" pivotButton="0" quotePrefix="0" xfId="0">
      <alignment horizontal="left" vertical="center"/>
    </xf>
    <xf numFmtId="0" fontId="15" fillId="4" borderId="2" applyAlignment="1" pivotButton="0" quotePrefix="0" xfId="0">
      <alignment horizontal="left" vertical="center"/>
    </xf>
    <xf numFmtId="0" fontId="14" fillId="4" borderId="2" applyAlignment="1" pivotButton="0" quotePrefix="0" xfId="0">
      <alignment horizontal="left" vertical="center"/>
    </xf>
    <xf numFmtId="0" fontId="17" fillId="3" borderId="2" applyAlignment="1" pivotButton="0" quotePrefix="0" xfId="0">
      <alignment horizontal="left" vertical="center"/>
    </xf>
    <xf numFmtId="0" fontId="18" fillId="2" borderId="0" pivotButton="0" quotePrefix="0" xfId="0"/>
    <xf numFmtId="0" fontId="14" fillId="5" borderId="7" applyAlignment="1" pivotButton="0" quotePrefix="0" xfId="0">
      <alignment horizontal="center" vertical="center"/>
    </xf>
    <xf numFmtId="0" fontId="14" fillId="3" borderId="2" applyAlignment="1" pivotButton="0" quotePrefix="0" xfId="0">
      <alignment horizontal="left" vertical="center"/>
    </xf>
    <xf numFmtId="0" fontId="19" fillId="3" borderId="2" applyAlignment="1" pivotButton="0" quotePrefix="0" xfId="0">
      <alignment horizontal="left" vertical="center"/>
    </xf>
    <xf numFmtId="0" fontId="17" fillId="4" borderId="2" applyAlignment="1" pivotButton="0" quotePrefix="0" xfId="0">
      <alignment horizontal="left" vertical="center"/>
    </xf>
    <xf numFmtId="0" fontId="20" fillId="3" borderId="2" applyAlignment="1" pivotButton="0" quotePrefix="0" xfId="0">
      <alignment horizontal="left" vertical="center"/>
    </xf>
    <xf numFmtId="0" fontId="21" fillId="4" borderId="2" applyAlignment="1" pivotButton="0" quotePrefix="0" xfId="0">
      <alignment horizontal="left" vertical="center"/>
    </xf>
    <xf numFmtId="0" fontId="22" fillId="3" borderId="3" applyAlignment="1" pivotButton="0" quotePrefix="0" xfId="0">
      <alignment horizontal="center" vertical="center"/>
    </xf>
    <xf numFmtId="0" fontId="23" fillId="2" borderId="0" pivotButton="0" quotePrefix="0" xfId="0"/>
    <xf numFmtId="0" fontId="16" fillId="4" borderId="2" applyAlignment="1" pivotButton="0" quotePrefix="0" xfId="0">
      <alignment horizontal="left" vertical="center"/>
    </xf>
    <xf numFmtId="0" fontId="21" fillId="3" borderId="2" applyAlignment="1" pivotButton="0" quotePrefix="0" xfId="0">
      <alignment horizontal="left" vertical="center"/>
    </xf>
    <xf numFmtId="0" fontId="24" fillId="2" borderId="0" pivotButton="0" quotePrefix="0" xfId="0"/>
    <xf numFmtId="0" fontId="14" fillId="6" borderId="7" applyAlignment="1" pivotButton="0" quotePrefix="0" xfId="0">
      <alignment horizontal="center" vertical="center"/>
    </xf>
    <xf numFmtId="0" fontId="25" fillId="2" borderId="0" pivotButton="0" quotePrefix="0" xfId="0"/>
    <xf numFmtId="0" fontId="14" fillId="7" borderId="7" applyAlignment="1" pivotButton="0" quotePrefix="0" xfId="0">
      <alignment horizontal="center" vertical="center"/>
    </xf>
    <xf numFmtId="0" fontId="14" fillId="8" borderId="7" applyAlignment="1" pivotButton="0" quotePrefix="0" xfId="0">
      <alignment horizontal="center" vertical="center"/>
    </xf>
    <xf numFmtId="0" fontId="26" fillId="2" borderId="0" pivotButton="0" quotePrefix="0" xfId="0"/>
    <xf numFmtId="0" fontId="14" fillId="9" borderId="7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7" fillId="1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Row Volume by Medallion Layer</a:t>
            </a:r>
          </a:p>
        </rich>
      </tx>
      <layout/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bar"/>
        <grouping val="clustered"/>
        <varyColors val="1"/>
        <ser>
          <idx val="0"/>
          <order val="0"/>
          <spPr>
            <a:ln>
              <a:prstDash val="solid"/>
            </a:ln>
          </spPr>
          <invertIfNegative val="1"/>
          <dPt>
            <idx val="0"/>
            <invertIfNegative val="1"/>
            <bubble3D val="0"/>
            <spPr>
              <a:solidFill>
                <a:schemeClr val="accent1"/>
              </a:solidFill>
              <a:ln>
                <a:noFill/>
                <a:prstDash val="solid"/>
              </a:ln>
            </spPr>
          </dPt>
          <dPt>
            <idx val="1"/>
            <invertIfNegative val="1"/>
            <bubble3D val="0"/>
            <spPr>
              <a:solidFill>
                <a:schemeClr val="accent2"/>
              </a:solidFill>
              <a:ln>
                <a:noFill/>
                <a:prstDash val="solid"/>
              </a:ln>
            </spPr>
          </dPt>
          <dPt>
            <idx val="2"/>
            <invertIfNegative val="1"/>
            <bubble3D val="0"/>
            <spPr>
              <a:solidFill>
                <a:schemeClr val="accent3"/>
              </a:solidFill>
              <a:ln>
                <a:noFill/>
                <a:prstDash val="solid"/>
              </a:ln>
            </spPr>
          </dPt>
          <cat>
            <strRef>
              <f>'Pipeline Summary'!$B$22:$B$24</f>
              <strCache>
                <ptCount val="3"/>
                <pt idx="0">
                  <v>Bronze</v>
                </pt>
                <pt idx="1">
                  <v>Silver</v>
                </pt>
                <pt idx="2">
                  <v>Gold (fact)</v>
                </pt>
              </strCache>
            </strRef>
          </cat>
          <val>
            <numRef>
              <f>'Pipeline Summary'!$C$22:$C$24</f>
              <numCache>
                <formatCode>General</formatCode>
                <ptCount val="3"/>
                <pt idx="0">
                  <v>523480</v>
                </pt>
                <pt idx="1">
                  <v>492071</v>
                </pt>
                <pt idx="2">
                  <v>90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491880432"/>
        <axId val="491885528"/>
      </barChart>
      <catAx>
        <axId val="491880432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91885528"/>
        <crosses val="autoZero"/>
        <auto val="1"/>
        <lblAlgn val="ctr"/>
        <lblOffset val="100"/>
        <noMultiLvlLbl val="1"/>
      </catAx>
      <valAx>
        <axId val="491885528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Rows</a:t>
                </a:r>
              </a:p>
            </rich>
          </tx>
          <layout/>
          <overlay val="1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91880432"/>
        <crosses val="autoZero"/>
        <crossBetween val="between"/>
      </valAx>
    </plotArea>
    <legend>
      <legendPos val="b"/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ROAS by Channel vs 3.0x Target</a:t>
            </a:r>
          </a:p>
        </rich>
      </tx>
      <layout/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bar"/>
        <grouping val="clustered"/>
        <varyColors val="1"/>
        <ser>
          <idx val="0"/>
          <order val="0"/>
          <spPr>
            <a:ln>
              <a:prstDash val="solid"/>
            </a:ln>
          </spPr>
          <invertIfNegative val="1"/>
          <dPt>
            <idx val="0"/>
            <invertIfNegative val="1"/>
            <bubble3D val="0"/>
            <spPr>
              <a:solidFill>
                <a:schemeClr val="accent1"/>
              </a:solidFill>
              <a:ln>
                <a:noFill/>
                <a:prstDash val="solid"/>
              </a:ln>
            </spPr>
          </dPt>
          <dPt>
            <idx val="1"/>
            <invertIfNegative val="1"/>
            <bubble3D val="0"/>
            <spPr>
              <a:solidFill>
                <a:schemeClr val="accent2"/>
              </a:solidFill>
              <a:ln>
                <a:noFill/>
                <a:prstDash val="solid"/>
              </a:ln>
            </spPr>
          </dPt>
          <dPt>
            <idx val="2"/>
            <invertIfNegative val="1"/>
            <bubble3D val="0"/>
            <spPr>
              <a:solidFill>
                <a:schemeClr val="accent3"/>
              </a:solidFill>
              <a:ln>
                <a:noFill/>
                <a:prstDash val="solid"/>
              </a:ln>
            </spPr>
          </dPt>
          <dPt>
            <idx val="3"/>
            <invertIfNegative val="1"/>
            <bubble3D val="0"/>
            <spPr>
              <a:solidFill>
                <a:schemeClr val="accent4"/>
              </a:solidFill>
              <a:ln>
                <a:noFill/>
                <a:prstDash val="solid"/>
              </a:ln>
            </spPr>
          </dPt>
          <cat>
            <strRef>
              <f>'Channel Performance'!$B$15:$B$18</f>
              <strCache>
                <ptCount val="4"/>
                <pt idx="0">
                  <v>Google Ads</v>
                </pt>
                <pt idx="1">
                  <v>CM360</v>
                </pt>
                <pt idx="2">
                  <v>DV360</v>
                </pt>
                <pt idx="3">
                  <v>YouTube</v>
                </pt>
              </strCache>
            </strRef>
          </cat>
          <val>
            <numRef>
              <f>'Channel Performance'!$C$15:$C$18</f>
              <numCache>
                <formatCode>General</formatCode>
                <ptCount val="4"/>
                <pt idx="0">
                  <v>4.2</v>
                </pt>
                <pt idx="1">
                  <v>3.8</v>
                </pt>
                <pt idx="2">
                  <v>3.4</v>
                </pt>
                <pt idx="3">
                  <v>2.9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373542464"/>
        <axId val="373543640"/>
      </barChart>
      <catAx>
        <axId val="373542464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373543640"/>
        <crosses val="autoZero"/>
        <auto val="1"/>
        <lblAlgn val="ctr"/>
        <lblOffset val="100"/>
        <noMultiLvlLbl val="1"/>
      </catAx>
      <valAx>
        <axId val="373543640"/>
        <scaling>
          <orientation val="minMax"/>
          <max val="5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ROAS</a:t>
                </a:r>
              </a:p>
            </rich>
          </tx>
          <layout/>
          <overlay val="1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373542464"/>
        <crosses val="autoZero"/>
        <crossBetween val="between"/>
      </valAx>
    </plotArea>
    <legend>
      <legendPos val="b"/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ZA"/>
              <a:t>Impressions Share by Channel</a:t>
            </a:r>
          </a:p>
        </rich>
      </tx>
      <layout/>
      <overlay val="1"/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cat>
            <strRef>
              <f>'Channel Performance'!$B$22:$B$25</f>
              <strCache>
                <ptCount val="4"/>
                <pt idx="0">
                  <v>Google Ads</v>
                </pt>
                <pt idx="1">
                  <v>CM360</v>
                </pt>
                <pt idx="2">
                  <v>DV360</v>
                </pt>
                <pt idx="3">
                  <v>YouTube</v>
                </pt>
              </strCache>
            </strRef>
          </cat>
          <val>
            <numRef>
              <f>'Channel Performance'!$C$22:$C$25</f>
              <numCache>
                <formatCode>General</formatCode>
                <ptCount val="4"/>
                <pt idx="0">
                  <v>3850000</v>
                </pt>
                <pt idx="1">
                  <v>2140000</v>
                </pt>
                <pt idx="2">
                  <v>4210000</v>
                </pt>
                <pt idx="3">
                  <v>1890000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/>
      <overlay val="1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Quarantined Rows by Source</a:t>
            </a:r>
          </a:p>
        </rich>
      </tx>
      <layout/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800" b="1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>
                <a:noFill/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>
                <a:noFill/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>
                <a:noFill/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>
                <a:noFill/>
                <a:prstDash val="solid"/>
              </a:ln>
            </spPr>
          </dPt>
          <dPt>
            <idx val="4"/>
            <bubble3D val="0"/>
            <spPr>
              <a:solidFill>
                <a:schemeClr val="accent5"/>
              </a:solidFill>
              <a:ln>
                <a:noFill/>
                <a:prstDash val="solid"/>
              </a:ln>
            </spPr>
          </dPt>
          <dLbls>
            <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'DQ Report'!$B$27:$B$31</f>
              <strCache>
                <ptCount val="5"/>
                <pt idx="0">
                  <v>GA4</v>
                </pt>
                <pt idx="1">
                  <v>Google Ads</v>
                </pt>
                <pt idx="2">
                  <v>CM360</v>
                </pt>
                <pt idx="3">
                  <v>DV360</v>
                </pt>
                <pt idx="4">
                  <v>YouTube</v>
                </pt>
              </strCache>
            </strRef>
          </cat>
          <val>
            <numRef>
              <f>'DQ Report'!$C$27:$C$31</f>
              <numCache>
                <formatCode>General</formatCode>
                <ptCount val="5"/>
                <pt idx="0">
                  <v>6759</v>
                </pt>
                <pt idx="1">
                  <v>6316</v>
                </pt>
                <pt idx="2">
                  <v>3360</v>
                </pt>
                <pt idx="3">
                  <v>6802</v>
                </pt>
                <pt idx="4">
                  <v>8172</v>
                </pt>
              </numCache>
            </numRef>
          </val>
        </ser>
        <dLbls>
          <dLblPos val="ctr"/>
          <showLegendKey val="0"/>
          <showVal val="0"/>
          <showCatName val="0"/>
          <showSerName val="0"/>
          <showPercent val="1"/>
          <showBubbleSize val="0"/>
          <showLeaderLines val="1"/>
        </dLbls>
        <firstSliceAng val="0"/>
      </pieChart>
    </plotArea>
    <legend>
      <legendPos val="r"/>
      <layout/>
      <overlay val="0"/>
      <spPr>
        <a:solidFill>
          <a:schemeClr val="lt1">
            <a:alpha val="39000"/>
            <a:lumMod val="95000"/>
          </a:schemeClr>
        </a:solidFill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Monthly Sessions — GA4 (Jan–Jun 2024)</a:t>
            </a:r>
          </a:p>
        </rich>
      </tx>
      <layout/>
      <overlay val="1"/>
      <spPr>
        <a:noFill/>
        <a:ln>
          <a:noFill/>
          <a:prstDash val="solid"/>
        </a:ln>
      </spPr>
    </title>
    <plotArea>
      <layout/>
      <lineChart>
        <grouping val="standard"/>
        <varyColors val="1"/>
        <ser>
          <idx val="0"/>
          <order val="0"/>
          <spPr>
            <a:ln>
              <a:prstDash val="solid"/>
            </a:ln>
          </spPr>
          <marker>
            <symbol val="circle"/>
            <size val="17"/>
            <spPr>
              <a:ln>
                <a:prstDash val="solid"/>
              </a:ln>
            </spPr>
          </marker>
          <dPt>
            <idx val="0"/>
            <marker>
              <symbol val="none"/>
              <spPr>
                <a:solidFill>
                  <a:schemeClr val="accent1"/>
                </a:solidFill>
                <a:ln>
                  <a:noFill/>
                  <a:prstDash val="solid"/>
                </a:ln>
              </spPr>
            </marker>
            <bubble3D val="0"/>
            <spPr>
              <a:ln w="31750" cap="rnd">
                <a:solidFill>
                  <a:schemeClr val="accent1"/>
                </a:solidFill>
                <a:prstDash val="solid"/>
                <a:round/>
              </a:ln>
            </spPr>
          </dPt>
          <dPt>
            <idx val="1"/>
            <marker>
              <symbol val="none"/>
              <spPr>
                <a:solidFill>
                  <a:schemeClr val="accent2"/>
                </a:solidFill>
                <a:ln>
                  <a:noFill/>
                  <a:prstDash val="solid"/>
                </a:ln>
              </spPr>
            </marker>
            <bubble3D val="0"/>
            <spPr>
              <a:ln w="31750" cap="rnd">
                <a:solidFill>
                  <a:schemeClr val="accent2"/>
                </a:solidFill>
                <a:prstDash val="solid"/>
                <a:round/>
              </a:ln>
            </spPr>
          </dPt>
          <dPt>
            <idx val="2"/>
            <marker>
              <symbol val="none"/>
              <spPr>
                <a:solidFill>
                  <a:schemeClr val="accent3"/>
                </a:solidFill>
                <a:ln>
                  <a:noFill/>
                  <a:prstDash val="solid"/>
                </a:ln>
              </spPr>
            </marker>
            <bubble3D val="0"/>
            <spPr>
              <a:ln w="31750" cap="rnd">
                <a:solidFill>
                  <a:schemeClr val="accent3"/>
                </a:solidFill>
                <a:prstDash val="solid"/>
                <a:round/>
              </a:ln>
            </spPr>
          </dPt>
          <dPt>
            <idx val="3"/>
            <marker>
              <symbol val="none"/>
              <spPr>
                <a:solidFill>
                  <a:schemeClr val="accent4"/>
                </a:solidFill>
                <a:ln>
                  <a:noFill/>
                  <a:prstDash val="solid"/>
                </a:ln>
              </spPr>
            </marker>
            <bubble3D val="0"/>
            <spPr>
              <a:ln w="31750" cap="rnd">
                <a:solidFill>
                  <a:schemeClr val="accent4"/>
                </a:solidFill>
                <a:prstDash val="solid"/>
                <a:round/>
              </a:ln>
            </spPr>
          </dPt>
          <dPt>
            <idx val="4"/>
            <marker>
              <symbol val="none"/>
              <spPr>
                <a:solidFill>
                  <a:schemeClr val="accent5"/>
                </a:solidFill>
                <a:ln>
                  <a:noFill/>
                  <a:prstDash val="solid"/>
                </a:ln>
              </spPr>
            </marker>
            <bubble3D val="0"/>
            <spPr>
              <a:ln w="31750" cap="rnd">
                <a:solidFill>
                  <a:schemeClr val="accent5"/>
                </a:solidFill>
                <a:prstDash val="solid"/>
                <a:round/>
              </a:ln>
            </spPr>
          </dPt>
          <dPt>
            <idx val="5"/>
            <marker>
              <symbol val="none"/>
              <spPr>
                <a:solidFill>
                  <a:schemeClr val="accent6"/>
                </a:solidFill>
                <a:ln>
                  <a:noFill/>
                  <a:prstDash val="solid"/>
                </a:ln>
              </spPr>
            </marker>
            <bubble3D val="0"/>
            <spPr>
              <a:ln w="31750" cap="rnd">
                <a:solidFill>
                  <a:schemeClr val="accent6"/>
                </a:solidFill>
                <a:prstDash val="solid"/>
                <a:round/>
              </a:ln>
            </spPr>
          </dPt>
          <dLbls>
            <dLbl>
              <idx val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'GA4 Events'!$B$27:$B$32</f>
              <strCache>
                <ptCount val="6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</strCache>
            </strRef>
          </cat>
          <val>
            <numRef>
              <f>'GA4 Events'!$C$27:$C$32</f>
              <numCache>
                <formatCode>General</formatCode>
                <ptCount val="6"/>
                <pt idx="0">
                  <v>62000</v>
                </pt>
                <pt idx="1">
                  <v>74000</v>
                </pt>
                <pt idx="2">
                  <v>81000</v>
                </pt>
                <pt idx="3">
                  <v>88000</v>
                </pt>
                <pt idx="4">
                  <v>94000</v>
                </pt>
                <pt idx="5">
                  <v>81000</v>
                </pt>
              </numCache>
            </numRef>
          </val>
          <smooth val="1"/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373540112"/>
        <axId val="373544032"/>
      </lineChart>
      <catAx>
        <axId val="373540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373544032"/>
        <crosses val="autoZero"/>
        <auto val="1"/>
        <lblAlgn val="ctr"/>
        <lblOffset val="100"/>
        <noMultiLvlLbl val="1"/>
      </catAx>
      <valAx>
        <axId val="373544032"/>
        <scaling>
          <orientation val="minMax"/>
        </scaling>
        <delete val="1"/>
        <axPos val="l"/>
        <majorGridlines>
          <spPr>
            <a:ln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1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Sessions</a:t>
                </a:r>
              </a:p>
            </rich>
          </tx>
          <layout/>
          <overlay val="1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crossAx val="373540112"/>
        <crosses val="autoZero"/>
        <crossBetween val="between"/>
      </valAx>
    </plotArea>
    <legend>
      <legendPos val="b"/>
      <layout/>
      <overlay val="0"/>
      <spPr>
        <a:solidFill>
          <a:schemeClr val="lt1">
            <a:alpha val="39000"/>
            <a:lumMod val="95000"/>
          </a:schemeClr>
        </a:solidFill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Approx Duration per Task Group (minutes)</a:t>
            </a:r>
          </a:p>
        </rich>
      </tx>
      <layout/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bar"/>
        <grouping val="clustered"/>
        <varyColors val="1"/>
        <ser>
          <idx val="0"/>
          <order val="0"/>
          <spPr>
            <a:ln>
              <a:prstDash val="solid"/>
            </a:ln>
          </spPr>
          <invertIfNegative val="1"/>
          <dPt>
            <idx val="0"/>
            <invertIfNegative val="1"/>
            <bubble3D val="0"/>
            <spPr>
              <a:solidFill>
                <a:schemeClr val="accent1"/>
              </a:solidFill>
              <a:ln>
                <a:noFill/>
                <a:prstDash val="solid"/>
              </a:ln>
            </spPr>
          </dPt>
          <dPt>
            <idx val="1"/>
            <invertIfNegative val="1"/>
            <bubble3D val="0"/>
            <spPr>
              <a:solidFill>
                <a:schemeClr val="accent2"/>
              </a:solidFill>
              <a:ln>
                <a:noFill/>
                <a:prstDash val="solid"/>
              </a:ln>
            </spPr>
          </dPt>
          <dPt>
            <idx val="2"/>
            <invertIfNegative val="1"/>
            <bubble3D val="0"/>
            <spPr>
              <a:solidFill>
                <a:schemeClr val="accent3"/>
              </a:solidFill>
              <a:ln>
                <a:noFill/>
                <a:prstDash val="solid"/>
              </a:ln>
            </spPr>
          </dPt>
          <dPt>
            <idx val="3"/>
            <invertIfNegative val="1"/>
            <bubble3D val="0"/>
            <spPr>
              <a:solidFill>
                <a:schemeClr val="accent4"/>
              </a:solidFill>
              <a:ln>
                <a:noFill/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'Airflow DAG'!$B$21:$B$24</f>
              <strCache>
                <ptCount val="4"/>
                <pt idx="0">
                  <v>ingest</v>
                </pt>
                <pt idx="1">
                  <v>validate</v>
                </pt>
                <pt idx="2">
                  <v>transform</v>
                </pt>
                <pt idx="3">
                  <v>gold</v>
                </pt>
              </strCache>
            </strRef>
          </cat>
          <val>
            <numRef>
              <f>'Airflow DAG'!$C$21:$C$24</f>
              <numCache>
                <formatCode>General</formatCode>
                <ptCount val="4"/>
                <pt idx="0">
                  <v>3</v>
                </pt>
                <pt idx="1">
                  <v>8</v>
                </pt>
                <pt idx="2">
                  <v>6</v>
                </pt>
                <pt idx="3">
                  <v>3</v>
                </pt>
              </numCache>
            </numRef>
          </val>
        </ser>
        <dLbls>
          <dLblPos val="inEnd"/>
          <showLegendKey val="0"/>
          <showVal val="1"/>
          <showCatName val="0"/>
          <showSerName val="0"/>
          <showPercent val="0"/>
          <showBubbleSize val="0"/>
        </dLbls>
        <gapWidth val="182"/>
        <axId val="373544424"/>
        <axId val="373538936"/>
      </barChart>
      <catAx>
        <axId val="373544424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373538936"/>
        <crosses val="autoZero"/>
        <auto val="1"/>
        <lblAlgn val="ctr"/>
        <lblOffset val="100"/>
        <noMultiLvlLbl val="1"/>
      </catAx>
      <valAx>
        <axId val="37353893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Minutes</a:t>
                </a:r>
              </a:p>
            </rich>
          </tx>
          <layout/>
          <overlay val="1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373544424"/>
        <crosses val="autoZero"/>
        <crossBetween val="between"/>
      </valAx>
    </plotArea>
    <legend>
      <legendPos val="b"/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161925</colOff>
      <row>9</row>
      <rowOff>85725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12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666750</colOff>
      <row>32</row>
      <rowOff>19050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333375</colOff>
      <row>3</row>
      <rowOff>142875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tabColor rgb="FF06B6D4"/>
    <outlinePr summaryBelow="1" summaryRight="1"/>
    <pageSetUpPr/>
  </sheetPr>
  <dimension ref="A1:G31"/>
  <sheetViews>
    <sheetView showGridLines="0" tabSelected="1" workbookViewId="0">
      <selection activeCell="G24" sqref="G24"/>
    </sheetView>
  </sheetViews>
  <sheetFormatPr baseColWidth="8" defaultRowHeight="15"/>
  <cols>
    <col width="4" customWidth="1" style="37" min="1" max="1"/>
    <col width="28" customWidth="1" style="37" min="2" max="2"/>
    <col width="18" customWidth="1" style="37" min="3" max="7"/>
  </cols>
  <sheetData>
    <row r="1" ht="15.95" customHeight="1" s="37">
      <c r="A1" s="1" t="n"/>
      <c r="B1" s="1" t="n"/>
      <c r="C1" s="1" t="n"/>
      <c r="D1" s="1" t="n"/>
      <c r="E1" s="1" t="n"/>
      <c r="F1" s="1" t="n"/>
      <c r="G1" s="1" t="n"/>
    </row>
    <row r="2" ht="15.95" customHeight="1" s="37">
      <c r="A2" s="1" t="n"/>
      <c r="B2" s="38" t="inlineStr">
        <is>
          <t>GCP Marketing Analytics Platform</t>
        </is>
      </c>
    </row>
    <row r="3" ht="36" customHeight="1" s="37">
      <c r="A3" s="1" t="n"/>
      <c r="B3" s="36" t="inlineStr">
        <is>
          <t>Technical Project Report  ·  Anthony Apollis  ·  2026</t>
        </is>
      </c>
    </row>
    <row r="4" ht="15.95" customHeight="1" s="37">
      <c r="A4" s="1" t="n"/>
      <c r="B4" s="1" t="n"/>
    </row>
    <row r="5" ht="15.95" customHeight="1" s="37">
      <c r="A5" s="1" t="n"/>
      <c r="B5" s="39" t="inlineStr">
        <is>
          <t>BigQuery · Apache Beam · dbt · Apache Airflow · GA4 · GTM · Cloud Dataflow</t>
        </is>
      </c>
    </row>
    <row r="6" ht="15.95" customHeight="1" s="37">
      <c r="A6" s="1" t="n"/>
      <c r="B6" s="1" t="n"/>
      <c r="C6" s="1" t="n"/>
      <c r="D6" s="1" t="n"/>
      <c r="E6" s="1" t="n"/>
      <c r="F6" s="1" t="n"/>
      <c r="G6" s="1" t="n"/>
    </row>
    <row r="7" ht="15.95" customHeight="1" s="37">
      <c r="A7" s="1" t="n"/>
      <c r="B7" s="1" t="n"/>
      <c r="C7" s="1" t="n"/>
      <c r="D7" s="1" t="n"/>
      <c r="E7" s="1" t="n"/>
      <c r="F7" s="1" t="n"/>
      <c r="G7" s="1" t="n"/>
    </row>
    <row r="8" ht="15.95" customHeight="1" s="37">
      <c r="A8" s="1" t="n"/>
      <c r="B8" s="1" t="n"/>
      <c r="C8" s="1" t="n"/>
      <c r="D8" s="1" t="n"/>
      <c r="E8" s="1" t="n"/>
      <c r="F8" s="1" t="n"/>
      <c r="G8" s="1" t="n"/>
    </row>
    <row r="9" ht="15.95" customHeight="1" s="37">
      <c r="A9" s="1" t="n"/>
      <c r="B9" s="1" t="n"/>
      <c r="C9" s="1" t="n"/>
      <c r="D9" s="1" t="n"/>
      <c r="E9" s="1" t="n"/>
      <c r="F9" s="1" t="n"/>
      <c r="G9" s="1" t="n"/>
    </row>
    <row r="10"/>
    <row r="11" ht="30" customHeight="1" s="37">
      <c r="B11" s="2" t="inlineStr">
        <is>
          <t>523,480</t>
        </is>
      </c>
      <c r="C11" s="3" t="inlineStr">
        <is>
          <t>492,071</t>
        </is>
      </c>
      <c r="D11" s="4" t="inlineStr">
        <is>
          <t>94.0%</t>
        </is>
      </c>
      <c r="E11" s="4" t="inlineStr">
        <is>
          <t>3.8×</t>
        </is>
      </c>
      <c r="F11" s="5" t="inlineStr">
        <is>
          <t>R1.48M</t>
        </is>
      </c>
      <c r="G11" s="6" t="inlineStr">
        <is>
          <t>1,886</t>
        </is>
      </c>
    </row>
    <row r="12" ht="15.95" customHeight="1" s="37">
      <c r="B12" s="7" t="inlineStr">
        <is>
          <t>Bronze Rows</t>
        </is>
      </c>
      <c r="C12" s="7" t="inlineStr">
        <is>
          <t>Silver Rows</t>
        </is>
      </c>
      <c r="D12" s="7" t="inlineStr">
        <is>
          <t>DQ Pass Rate</t>
        </is>
      </c>
      <c r="E12" s="7" t="inlineStr">
        <is>
          <t>Blended ROAS</t>
        </is>
      </c>
      <c r="F12" s="7" t="inlineStr">
        <is>
          <t>Paid Spend</t>
        </is>
      </c>
      <c r="G12" s="7" t="inlineStr">
        <is>
          <t>Conversions</t>
        </is>
      </c>
    </row>
    <row r="13"/>
    <row r="14" ht="20.1" customHeight="1" s="37">
      <c r="B14" s="8" t="inlineStr">
        <is>
          <t>CONTENTS</t>
        </is>
      </c>
      <c r="C14" s="1" t="n"/>
      <c r="D14" s="1" t="n"/>
      <c r="E14" s="1" t="n"/>
      <c r="F14" s="1" t="n"/>
      <c r="G14" s="1" t="n"/>
    </row>
    <row r="15" ht="15" customHeight="1" s="37">
      <c r="A15" s="1" t="n"/>
      <c r="B15" s="9" t="inlineStr">
        <is>
          <t>Sheet 1: Cover</t>
        </is>
      </c>
      <c r="C15" s="1" t="n"/>
      <c r="D15" s="1" t="n"/>
      <c r="E15" s="1" t="n"/>
      <c r="F15" s="1" t="n"/>
      <c r="G15" s="1" t="n"/>
    </row>
    <row r="16" ht="15" customHeight="1" s="37">
      <c r="A16" s="1" t="n"/>
      <c r="B16" s="9" t="inlineStr">
        <is>
          <t>Sheet 2: Pipeline Summary</t>
        </is>
      </c>
      <c r="C16" s="1" t="n"/>
      <c r="D16" s="1" t="n"/>
      <c r="E16" s="1" t="n"/>
      <c r="F16" s="1" t="n"/>
      <c r="G16" s="1" t="n"/>
    </row>
    <row r="17" ht="15" customHeight="1" s="37">
      <c r="A17" s="1" t="n"/>
      <c r="B17" s="9" t="inlineStr">
        <is>
          <t>Sheet 3: Channel Performance</t>
        </is>
      </c>
      <c r="C17" s="1" t="n"/>
      <c r="D17" s="1" t="n"/>
      <c r="E17" s="1" t="n"/>
      <c r="F17" s="1" t="n"/>
      <c r="G17" s="1" t="n"/>
    </row>
    <row r="18" ht="15" customHeight="1" s="37">
      <c r="A18" s="1" t="n"/>
      <c r="B18" s="9" t="inlineStr">
        <is>
          <t>Sheet 4: DQ Report</t>
        </is>
      </c>
      <c r="C18" s="1" t="n"/>
      <c r="D18" s="1" t="n"/>
      <c r="E18" s="1" t="n"/>
      <c r="F18" s="1" t="n"/>
      <c r="G18" s="1" t="n"/>
    </row>
    <row r="19" ht="15" customHeight="1" s="37">
      <c r="A19" s="1" t="n"/>
      <c r="B19" s="9" t="inlineStr">
        <is>
          <t>Sheet 5: GA4 Events</t>
        </is>
      </c>
      <c r="C19" s="1" t="n"/>
      <c r="D19" s="1" t="n"/>
      <c r="E19" s="1" t="n"/>
      <c r="F19" s="1" t="n"/>
      <c r="G19" s="1" t="n"/>
    </row>
    <row r="20" ht="15" customHeight="1" s="37">
      <c r="A20" s="1" t="n"/>
      <c r="B20" s="9" t="inlineStr">
        <is>
          <t>Sheet 6: Airflow DAG</t>
        </is>
      </c>
      <c r="C20" s="1" t="n"/>
      <c r="D20" s="1" t="n"/>
      <c r="E20" s="1" t="n"/>
      <c r="F20" s="1" t="n"/>
      <c r="G20" s="1" t="n"/>
    </row>
    <row r="21" ht="15" customHeight="1" s="37">
      <c r="A21" s="1" t="n"/>
      <c r="B21" s="1" t="n"/>
      <c r="C21" s="1" t="n"/>
      <c r="D21" s="1" t="n"/>
      <c r="E21" s="1" t="n"/>
      <c r="F21" s="1" t="n"/>
      <c r="G21" s="1" t="n"/>
    </row>
    <row r="22" ht="15" customHeight="1" s="37">
      <c r="A22" s="1" t="n"/>
      <c r="B22" s="1" t="n"/>
      <c r="C22" s="1" t="n"/>
      <c r="D22" s="1" t="n"/>
      <c r="E22" s="1" t="n"/>
      <c r="F22" s="1" t="n"/>
      <c r="G22" s="1" t="n"/>
    </row>
    <row r="23" ht="15" customHeight="1" s="37">
      <c r="A23" s="1" t="n"/>
      <c r="B23" s="1" t="n"/>
      <c r="C23" s="1" t="n"/>
      <c r="D23" s="1" t="n"/>
      <c r="E23" s="1" t="n"/>
      <c r="F23" s="1" t="n"/>
      <c r="G23" s="1" t="n"/>
    </row>
    <row r="24" ht="15" customHeight="1" s="37">
      <c r="A24" s="1" t="n"/>
      <c r="B24" s="1" t="n"/>
      <c r="C24" s="1" t="n"/>
      <c r="D24" s="1" t="n"/>
      <c r="E24" s="1" t="n"/>
      <c r="F24" s="1" t="n"/>
      <c r="G24" s="1" t="n"/>
    </row>
    <row r="25" ht="15" customHeight="1" s="37">
      <c r="A25" s="1" t="n"/>
      <c r="B25" s="1" t="n"/>
      <c r="C25" s="1" t="n"/>
      <c r="D25" s="1" t="n"/>
      <c r="E25" s="1" t="n"/>
      <c r="F25" s="1" t="n"/>
      <c r="G25" s="1" t="n"/>
    </row>
    <row r="26" ht="15" customHeight="1" s="37">
      <c r="A26" s="1" t="n"/>
      <c r="B26" s="1" t="n"/>
      <c r="C26" s="1" t="n"/>
      <c r="D26" s="1" t="n"/>
      <c r="E26" s="1" t="n"/>
      <c r="F26" s="1" t="n"/>
      <c r="G26" s="1" t="n"/>
    </row>
    <row r="27" ht="15" customHeight="1" s="37">
      <c r="A27" s="1" t="n"/>
      <c r="B27" s="1" t="n"/>
      <c r="C27" s="1" t="n"/>
      <c r="D27" s="1" t="n"/>
      <c r="E27" s="1" t="n"/>
      <c r="F27" s="1" t="n"/>
      <c r="G27" s="1" t="n"/>
    </row>
    <row r="28" ht="15" customHeight="1" s="37">
      <c r="A28" s="1" t="n"/>
      <c r="B28" s="1" t="n"/>
      <c r="C28" s="1" t="n"/>
      <c r="D28" s="1" t="n"/>
      <c r="E28" s="1" t="n"/>
      <c r="F28" s="1" t="n"/>
      <c r="G28" s="1" t="n"/>
    </row>
    <row r="29" ht="15" customHeight="1" s="37">
      <c r="A29" s="1" t="n"/>
      <c r="B29" s="1" t="n"/>
      <c r="C29" s="1" t="n"/>
      <c r="D29" s="1" t="n"/>
      <c r="E29" s="1" t="n"/>
      <c r="F29" s="1" t="n"/>
      <c r="G29" s="1" t="n"/>
    </row>
    <row r="30"/>
    <row r="31" ht="36" customHeight="1" s="37">
      <c r="A31" s="40" t="inlineStr">
        <is>
          <t>Data note: Workbook figures are a compact portfolio/demo extract. Dashboard and ebook KPIs may use presentation-level mart totals; raw source files can be sampled or intentionally dirty, so figures can differ by artifact.</t>
        </is>
      </c>
    </row>
  </sheetData>
  <mergeCells count="4">
    <mergeCell ref="B3:G3"/>
    <mergeCell ref="B2:G2"/>
    <mergeCell ref="B5:G5"/>
    <mergeCell ref="A31:G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59E0B"/>
    <outlinePr summaryBelow="1" summaryRight="1"/>
    <pageSetUpPr/>
  </sheetPr>
  <dimension ref="A1:F24"/>
  <sheetViews>
    <sheetView showGridLines="0" topLeftCell="A3" workbookViewId="0">
      <selection activeCell="I6" sqref="I6"/>
    </sheetView>
  </sheetViews>
  <sheetFormatPr baseColWidth="8" defaultRowHeight="15"/>
  <cols>
    <col width="3" customWidth="1" style="37" min="1" max="1"/>
    <col width="22" customWidth="1" style="37" min="2" max="2"/>
    <col width="20" customWidth="1" style="37" min="3" max="3"/>
    <col width="18" customWidth="1" style="37" min="4" max="4"/>
    <col width="26" customWidth="1" style="37" min="5" max="5"/>
    <col width="22" customWidth="1" style="37" min="6" max="6"/>
  </cols>
  <sheetData>
    <row r="1"/>
    <row r="2" ht="21.95" customHeight="1" s="37">
      <c r="B2" s="10" t="inlineStr">
        <is>
          <t>Medallion Pipeline Summary</t>
        </is>
      </c>
    </row>
    <row r="3">
      <c r="B3" s="11" t="inlineStr">
        <is>
          <t>Bronze → Silver → Gold  ·  BigQuery Medallion Architecture  ·  2024</t>
        </is>
      </c>
    </row>
    <row r="4"/>
    <row r="5" ht="21.95" customHeight="1" s="37">
      <c r="A5" s="12" t="n"/>
      <c r="B5" s="12" t="inlineStr">
        <is>
          <t>Layer</t>
        </is>
      </c>
      <c r="C5" s="12" t="inlineStr">
        <is>
          <t>Dataset</t>
        </is>
      </c>
      <c r="D5" s="12" t="inlineStr">
        <is>
          <t>Row Volume</t>
        </is>
      </c>
      <c r="E5" s="12" t="inlineStr">
        <is>
          <t>Write Mode</t>
        </is>
      </c>
      <c r="F5" s="12" t="inlineStr">
        <is>
          <t>Primary Tool</t>
        </is>
      </c>
    </row>
    <row r="6" ht="18" customHeight="1" s="37">
      <c r="A6" s="13" t="n"/>
      <c r="B6" s="14" t="inlineStr">
        <is>
          <t>BRONZE</t>
        </is>
      </c>
      <c r="C6" s="13" t="inlineStr">
        <is>
          <t>marketing_bronze.*</t>
        </is>
      </c>
      <c r="D6" s="13" t="inlineStr">
        <is>
          <t>523,480 rows</t>
        </is>
      </c>
      <c r="E6" s="13" t="inlineStr">
        <is>
          <t>Append (partitioned by date)</t>
        </is>
      </c>
      <c r="F6" s="13" t="inlineStr">
        <is>
          <t>BQ Data Transfer</t>
        </is>
      </c>
    </row>
    <row r="7" ht="18" customHeight="1" s="37">
      <c r="A7" s="15" t="n"/>
      <c r="B7" s="16" t="inlineStr">
        <is>
          <t>SILVER</t>
        </is>
      </c>
      <c r="C7" s="15" t="inlineStr">
        <is>
          <t>marketing_silver.*</t>
        </is>
      </c>
      <c r="D7" s="15" t="inlineStr">
        <is>
          <t>492,071 rows</t>
        </is>
      </c>
      <c r="E7" s="15" t="inlineStr">
        <is>
          <t>Incremental merge (unique_key)</t>
        </is>
      </c>
      <c r="F7" s="15" t="inlineStr">
        <is>
          <t>dbt staging models</t>
        </is>
      </c>
    </row>
    <row r="8" ht="18" customHeight="1" s="37">
      <c r="A8" s="13" t="n"/>
      <c r="B8" s="17" t="inlineStr">
        <is>
          <t>GOLD</t>
        </is>
      </c>
      <c r="C8" s="13" t="inlineStr">
        <is>
          <t>marketing_gold.*</t>
        </is>
      </c>
      <c r="D8" s="13" t="inlineStr">
        <is>
          <t>fct + rpt tables</t>
        </is>
      </c>
      <c r="E8" s="13" t="inlineStr">
        <is>
          <t>Full table overwrite</t>
        </is>
      </c>
      <c r="F8" s="13" t="inlineStr">
        <is>
          <t>dbt mart models</t>
        </is>
      </c>
    </row>
    <row r="9"/>
    <row r="10"/>
    <row r="11" ht="21.95" customHeight="1" s="37">
      <c r="B11" s="18" t="inlineStr">
        <is>
          <t>Beam Validation — Key Metrics</t>
        </is>
      </c>
    </row>
    <row r="12"/>
    <row r="13" ht="21.95" customHeight="1" s="37">
      <c r="A13" s="19" t="n"/>
      <c r="B13" s="19" t="inlineStr">
        <is>
          <t>Metric</t>
        </is>
      </c>
      <c r="C13" s="19" t="inlineStr">
        <is>
          <t>Count</t>
        </is>
      </c>
      <c r="D13" s="19" t="inlineStr">
        <is>
          <t>Pct</t>
        </is>
      </c>
      <c r="E13" s="19" t="inlineStr">
        <is>
          <t>Status</t>
        </is>
      </c>
    </row>
    <row r="14" ht="18" customHeight="1" s="37">
      <c r="A14" s="13" t="n"/>
      <c r="B14" s="13" t="inlineStr">
        <is>
          <t>Total Bronze rows ingested</t>
        </is>
      </c>
      <c r="C14" s="20" t="n">
        <v>523480</v>
      </c>
      <c r="D14" s="13" t="inlineStr">
        <is>
          <t>100.0%</t>
        </is>
      </c>
      <c r="E14" s="13" t="inlineStr">
        <is>
          <t>Ingested — STRING schema</t>
        </is>
      </c>
    </row>
    <row r="15" ht="18" customHeight="1" s="37">
      <c r="A15" s="15" t="n"/>
      <c r="B15" s="15" t="inlineStr">
        <is>
          <t>Silver — pass validation</t>
        </is>
      </c>
      <c r="C15" s="16" t="n">
        <v>492071</v>
      </c>
      <c r="D15" s="15" t="inlineStr">
        <is>
          <t>94.0%</t>
        </is>
      </c>
      <c r="E15" s="15" t="inlineStr">
        <is>
          <t>Valid rows — typed + deduped</t>
        </is>
      </c>
    </row>
    <row r="16" ht="18" customHeight="1" s="37">
      <c r="A16" s="13" t="n"/>
      <c r="B16" s="13" t="inlineStr">
        <is>
          <t>Quarantined — not dropped</t>
        </is>
      </c>
      <c r="C16" s="20" t="n">
        <v>31409</v>
      </c>
      <c r="D16" s="13" t="inlineStr">
        <is>
          <t>6.0%</t>
        </is>
      </c>
      <c r="E16" s="13" t="inlineStr">
        <is>
          <t>Auditable — reject_reason logged</t>
        </is>
      </c>
    </row>
    <row r="17" ht="18" customHeight="1" s="37">
      <c r="A17" s="15" t="n"/>
      <c r="B17" s="15" t="inlineStr">
        <is>
          <t>Deduplication removed</t>
        </is>
      </c>
      <c r="C17" s="16" t="n">
        <v>3847</v>
      </c>
      <c r="D17" s="15" t="inlineStr">
        <is>
          <t>0.7%</t>
        </is>
      </c>
      <c r="E17" s="15" t="inlineStr">
        <is>
          <t>Silver merge on unique_key</t>
        </is>
      </c>
    </row>
    <row r="18" ht="18" customHeight="1" s="37">
      <c r="A18" s="13" t="n"/>
      <c r="B18" s="13" t="inlineStr">
        <is>
          <t>dbt tests passed</t>
        </is>
      </c>
      <c r="C18" s="20" t="n">
        <v>18</v>
      </c>
      <c r="D18" s="13" t="inlineStr">
        <is>
          <t>100%</t>
        </is>
      </c>
      <c r="E18" s="13" t="inlineStr">
        <is>
          <t>not_null · unique · range checks</t>
        </is>
      </c>
    </row>
    <row r="19"/>
    <row r="20"/>
    <row r="21"/>
    <row r="22">
      <c r="B22" t="inlineStr">
        <is>
          <t>Bronze</t>
        </is>
      </c>
      <c r="C22" t="n">
        <v>523480</v>
      </c>
    </row>
    <row r="23">
      <c r="B23" t="inlineStr">
        <is>
          <t>Silver</t>
        </is>
      </c>
      <c r="C23" t="n">
        <v>492071</v>
      </c>
    </row>
    <row r="24">
      <c r="B24" t="inlineStr">
        <is>
          <t>Gold (fact)</t>
        </is>
      </c>
      <c r="C24" t="n">
        <v>90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3B82F6"/>
    <outlinePr summaryBelow="1" summaryRight="1"/>
    <pageSetUpPr/>
  </sheetPr>
  <dimension ref="A1:I25"/>
  <sheetViews>
    <sheetView showGridLines="0" topLeftCell="A14" workbookViewId="0">
      <selection activeCell="B31" sqref="B31"/>
    </sheetView>
  </sheetViews>
  <sheetFormatPr baseColWidth="8" defaultRowHeight="15"/>
  <cols>
    <col width="3" customWidth="1" style="37" min="1" max="1"/>
    <col width="24" customWidth="1" style="37" min="2" max="2"/>
    <col width="14" customWidth="1" style="37" min="3" max="3"/>
    <col width="12" customWidth="1" style="37" min="4" max="4"/>
    <col width="10" customWidth="1" style="37" min="5" max="5"/>
    <col width="16" customWidth="1" style="37" min="6" max="6"/>
    <col width="14" customWidth="1" style="37" min="7" max="7"/>
    <col width="10" customWidth="1" style="37" min="8" max="8"/>
    <col width="12" customWidth="1" style="37" min="9" max="9"/>
  </cols>
  <sheetData>
    <row r="1"/>
    <row r="2" ht="21.95" customHeight="1" s="37">
      <c r="B2" s="10" t="inlineStr">
        <is>
          <t>Cross-Channel Performance — Gold Fact Table</t>
        </is>
      </c>
    </row>
    <row r="3">
      <c r="B3" s="11" t="inlineStr">
        <is>
          <t>Source: marketing_gold.fct_cross_channel_performance  ·  Jan–Jun 2024  ·  Blended ROAS 3.8×</t>
        </is>
      </c>
    </row>
    <row r="4"/>
    <row r="5" ht="21.95" customHeight="1" s="37">
      <c r="A5" s="12" t="n"/>
      <c r="B5" s="12" t="inlineStr">
        <is>
          <t>Channel</t>
        </is>
      </c>
      <c r="C5" s="12" t="inlineStr">
        <is>
          <t>Impressions</t>
        </is>
      </c>
      <c r="D5" s="12" t="inlineStr">
        <is>
          <t>Clicks</t>
        </is>
      </c>
      <c r="E5" s="12" t="inlineStr">
        <is>
          <t>CTR</t>
        </is>
      </c>
      <c r="F5" s="12" t="inlineStr">
        <is>
          <t>Spend (ZAR)</t>
        </is>
      </c>
      <c r="G5" s="12" t="inlineStr">
        <is>
          <t>Conversions</t>
        </is>
      </c>
      <c r="H5" s="12" t="inlineStr">
        <is>
          <t>ROAS</t>
        </is>
      </c>
      <c r="I5" s="12" t="inlineStr">
        <is>
          <t>Conv Rate</t>
        </is>
      </c>
    </row>
    <row r="6" ht="18" customHeight="1" s="37">
      <c r="A6" s="13" t="n"/>
      <c r="B6" s="21" t="inlineStr">
        <is>
          <t>Google Ads — Search</t>
        </is>
      </c>
      <c r="C6" s="13" t="n">
        <v>3850000</v>
      </c>
      <c r="D6" s="13" t="n">
        <v>77000</v>
      </c>
      <c r="E6" s="13" t="inlineStr">
        <is>
          <t>2.0%</t>
        </is>
      </c>
      <c r="F6" s="13" t="n">
        <v>682000</v>
      </c>
      <c r="G6" s="13" t="n">
        <v>924</v>
      </c>
      <c r="H6" s="17" t="n">
        <v>4.2</v>
      </c>
      <c r="I6" s="13" t="inlineStr">
        <is>
          <t>1.20%</t>
        </is>
      </c>
    </row>
    <row r="7" ht="18" customHeight="1" s="37">
      <c r="A7" s="15" t="n"/>
      <c r="B7" s="22" t="inlineStr">
        <is>
          <t>Campaign Manager 360</t>
        </is>
      </c>
      <c r="C7" s="15" t="n">
        <v>2140000</v>
      </c>
      <c r="D7" s="15" t="n">
        <v>28620</v>
      </c>
      <c r="E7" s="15" t="inlineStr">
        <is>
          <t>1.3%</t>
        </is>
      </c>
      <c r="F7" s="15" t="n">
        <v>341000</v>
      </c>
      <c r="G7" s="15" t="n">
        <v>411</v>
      </c>
      <c r="H7" s="16" t="n">
        <v>3.8</v>
      </c>
      <c r="I7" s="15" t="inlineStr">
        <is>
          <t>1.44%</t>
        </is>
      </c>
    </row>
    <row r="8" ht="18" customHeight="1" s="37">
      <c r="A8" s="13" t="n"/>
      <c r="B8" s="23" t="inlineStr">
        <is>
          <t>DV360 — Display</t>
        </is>
      </c>
      <c r="C8" s="13" t="n">
        <v>4210000</v>
      </c>
      <c r="D8" s="13" t="n">
        <v>42100</v>
      </c>
      <c r="E8" s="13" t="inlineStr">
        <is>
          <t>1.0%</t>
        </is>
      </c>
      <c r="F8" s="13" t="n">
        <v>278000</v>
      </c>
      <c r="G8" s="13" t="n">
        <v>337</v>
      </c>
      <c r="H8" s="14" t="n">
        <v>3.4</v>
      </c>
      <c r="I8" s="13" t="inlineStr">
        <is>
          <t>0.80%</t>
        </is>
      </c>
    </row>
    <row r="9" ht="18" customHeight="1" s="37">
      <c r="A9" s="15" t="n"/>
      <c r="B9" s="24" t="inlineStr">
        <is>
          <t>YouTube Analytics</t>
        </is>
      </c>
      <c r="C9" s="15" t="n">
        <v>1890000</v>
      </c>
      <c r="D9" s="15" t="n">
        <v>37800</v>
      </c>
      <c r="E9" s="15" t="inlineStr">
        <is>
          <t>2.0%</t>
        </is>
      </c>
      <c r="F9" s="15" t="n">
        <v>182000</v>
      </c>
      <c r="G9" s="15" t="n">
        <v>214</v>
      </c>
      <c r="H9" s="24" t="n">
        <v>2.9</v>
      </c>
      <c r="I9" s="15" t="inlineStr">
        <is>
          <t>0.57%</t>
        </is>
      </c>
    </row>
    <row r="10" ht="20.1" customHeight="1" s="37">
      <c r="A10" s="25" t="n"/>
      <c r="B10" s="25" t="inlineStr">
        <is>
          <t>TOTAL PAID</t>
        </is>
      </c>
      <c r="C10" s="25" t="inlineStr">
        <is>
          <t>12,090,000</t>
        </is>
      </c>
      <c r="D10" s="25" t="inlineStr">
        <is>
          <t>185,520</t>
        </is>
      </c>
      <c r="E10" s="25" t="inlineStr">
        <is>
          <t>1.5%</t>
        </is>
      </c>
      <c r="F10" s="25" t="inlineStr">
        <is>
          <t>R1,483,000</t>
        </is>
      </c>
      <c r="G10" s="25" t="inlineStr">
        <is>
          <t>1,886</t>
        </is>
      </c>
      <c r="H10" s="25" t="inlineStr">
        <is>
          <t>3.8×</t>
        </is>
      </c>
      <c r="I10" s="25" t="inlineStr">
        <is>
          <t>1.02%</t>
        </is>
      </c>
    </row>
    <row r="11"/>
    <row r="12" ht="15.95" customHeight="1" s="37">
      <c r="B12" s="26" t="inlineStr">
        <is>
          <t>INSIGHT: Google Ads delivers 49% of conversions on 46% of budget. DV360 delivers 17.9% of conversions on 18.8% of budget — efficiency gap of 0.9pts on R278K spend.</t>
        </is>
      </c>
    </row>
    <row r="13"/>
    <row r="14"/>
    <row r="15">
      <c r="B15" t="inlineStr">
        <is>
          <t>Google Ads</t>
        </is>
      </c>
      <c r="C15" t="n">
        <v>4.2</v>
      </c>
    </row>
    <row r="16">
      <c r="B16" t="inlineStr">
        <is>
          <t>CM360</t>
        </is>
      </c>
      <c r="C16" t="n">
        <v>3.8</v>
      </c>
    </row>
    <row r="17">
      <c r="B17" t="inlineStr">
        <is>
          <t>DV360</t>
        </is>
      </c>
      <c r="C17" t="n">
        <v>3.4</v>
      </c>
    </row>
    <row r="18">
      <c r="B18" t="inlineStr">
        <is>
          <t>YouTube</t>
        </is>
      </c>
      <c r="C18" t="n">
        <v>2.9</v>
      </c>
    </row>
    <row r="19"/>
    <row r="20"/>
    <row r="21"/>
    <row r="22">
      <c r="B22" t="inlineStr">
        <is>
          <t>Google Ads</t>
        </is>
      </c>
      <c r="C22" t="n">
        <v>3850000</v>
      </c>
    </row>
    <row r="23">
      <c r="B23" t="inlineStr">
        <is>
          <t>CM360</t>
        </is>
      </c>
      <c r="C23" t="n">
        <v>2140000</v>
      </c>
    </row>
    <row r="24">
      <c r="B24" t="inlineStr">
        <is>
          <t>DV360</t>
        </is>
      </c>
      <c r="C24" t="n">
        <v>4210000</v>
      </c>
    </row>
    <row r="25">
      <c r="B25" t="inlineStr">
        <is>
          <t>YouTube</t>
        </is>
      </c>
      <c r="C25" t="n">
        <v>1890000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EF4444"/>
    <outlinePr summaryBelow="1" summaryRight="1"/>
    <pageSetUpPr/>
  </sheetPr>
  <dimension ref="A1:F31"/>
  <sheetViews>
    <sheetView showGridLines="0" topLeftCell="A20" workbookViewId="0">
      <selection activeCell="U17" sqref="U17"/>
    </sheetView>
  </sheetViews>
  <sheetFormatPr baseColWidth="8" defaultRowHeight="15"/>
  <cols>
    <col width="3" customWidth="1" style="37" min="1" max="1"/>
    <col width="26" customWidth="1" style="37" min="2" max="2"/>
    <col width="16" customWidth="1" style="37" min="3" max="3"/>
    <col width="20" customWidth="1" style="37" min="4" max="4"/>
    <col width="36" customWidth="1" style="37" min="5" max="5"/>
    <col width="14" customWidth="1" style="37" min="6" max="6"/>
  </cols>
  <sheetData>
    <row r="1"/>
    <row r="2" ht="21.95" customHeight="1" s="37">
      <c r="B2" s="18" t="inlineStr">
        <is>
          <t>Data Quality Report — Apache Beam Validation</t>
        </is>
      </c>
    </row>
    <row r="3">
      <c r="B3" s="11" t="inlineStr">
        <is>
          <t>ValidateAndTagRow DoFn  ·  Cloud Dataflow  ·  6.0% quarantine rate  ·  2024</t>
        </is>
      </c>
    </row>
    <row r="4"/>
    <row r="5" ht="21.95" customHeight="1" s="37">
      <c r="A5" s="19" t="n"/>
      <c r="B5" s="19" t="inlineStr">
        <is>
          <t>Source</t>
        </is>
      </c>
      <c r="C5" s="19" t="inlineStr">
        <is>
          <t>Total Rows</t>
        </is>
      </c>
      <c r="D5" s="19" t="inlineStr">
        <is>
          <t>Passed</t>
        </is>
      </c>
      <c r="E5" s="19" t="inlineStr">
        <is>
          <t>Quarantined</t>
        </is>
      </c>
      <c r="F5" s="19" t="inlineStr">
        <is>
          <t>Pass Rate</t>
        </is>
      </c>
    </row>
    <row r="6" ht="18" customHeight="1" s="37">
      <c r="A6" s="13" t="n"/>
      <c r="B6" s="13" t="inlineStr">
        <is>
          <t>GA4 Events</t>
        </is>
      </c>
      <c r="C6" s="13" t="n">
        <v>148920</v>
      </c>
      <c r="D6" s="13" t="n">
        <v>142161</v>
      </c>
      <c r="E6" s="13" t="n">
        <v>6759</v>
      </c>
      <c r="F6" s="17" t="inlineStr">
        <is>
          <t>95.5%</t>
        </is>
      </c>
    </row>
    <row r="7" ht="18" customHeight="1" s="37">
      <c r="A7" s="15" t="n"/>
      <c r="B7" s="15" t="inlineStr">
        <is>
          <t>Google Ads</t>
        </is>
      </c>
      <c r="C7" s="15" t="n">
        <v>89340</v>
      </c>
      <c r="D7" s="15" t="n">
        <v>83024</v>
      </c>
      <c r="E7" s="15" t="n">
        <v>6316</v>
      </c>
      <c r="F7" s="27" t="inlineStr">
        <is>
          <t>92.9%</t>
        </is>
      </c>
    </row>
    <row r="8" ht="18" customHeight="1" s="37">
      <c r="A8" s="13" t="n"/>
      <c r="B8" s="13" t="inlineStr">
        <is>
          <t>Campaign Manager 360</t>
        </is>
      </c>
      <c r="C8" s="13" t="n">
        <v>76850</v>
      </c>
      <c r="D8" s="13" t="n">
        <v>73490</v>
      </c>
      <c r="E8" s="13" t="n">
        <v>3360</v>
      </c>
      <c r="F8" s="17" t="inlineStr">
        <is>
          <t>95.6%</t>
        </is>
      </c>
    </row>
    <row r="9" ht="18" customHeight="1" s="37">
      <c r="A9" s="15" t="n"/>
      <c r="B9" s="15" t="inlineStr">
        <is>
          <t>DV360</t>
        </is>
      </c>
      <c r="C9" s="15" t="n">
        <v>112430</v>
      </c>
      <c r="D9" s="15" t="n">
        <v>105628</v>
      </c>
      <c r="E9" s="15" t="n">
        <v>6802</v>
      </c>
      <c r="F9" s="27" t="inlineStr">
        <is>
          <t>94.0%</t>
        </is>
      </c>
    </row>
    <row r="10" ht="18" customHeight="1" s="37">
      <c r="A10" s="13" t="n"/>
      <c r="B10" s="13" t="inlineStr">
        <is>
          <t>YouTube Analytics</t>
        </is>
      </c>
      <c r="C10" s="13" t="n">
        <v>95940</v>
      </c>
      <c r="D10" s="13" t="n">
        <v>87768</v>
      </c>
      <c r="E10" s="13" t="n">
        <v>8172</v>
      </c>
      <c r="F10" s="28" t="inlineStr">
        <is>
          <t>91.5%</t>
        </is>
      </c>
    </row>
    <row r="11" ht="20.1" customHeight="1" s="37">
      <c r="A11" s="25" t="n"/>
      <c r="B11" s="25" t="inlineStr">
        <is>
          <t>TOTAL</t>
        </is>
      </c>
      <c r="C11" s="25" t="inlineStr">
        <is>
          <t>523,480</t>
        </is>
      </c>
      <c r="D11" s="25" t="inlineStr">
        <is>
          <t>492,071</t>
        </is>
      </c>
      <c r="E11" s="25" t="inlineStr">
        <is>
          <t>31,409</t>
        </is>
      </c>
      <c r="F11" s="25" t="inlineStr">
        <is>
          <t>94.0%</t>
        </is>
      </c>
    </row>
    <row r="12"/>
    <row r="13"/>
    <row r="14" ht="21.95" customHeight="1" s="37">
      <c r="B14" s="29" t="inlineStr">
        <is>
          <t>Quarantine Issue Breakdown</t>
        </is>
      </c>
    </row>
    <row r="15"/>
    <row r="16" ht="21.95" customHeight="1" s="37">
      <c r="A16" s="30" t="n"/>
      <c r="B16" s="30" t="inlineStr">
        <is>
          <t>DQ Issue</t>
        </is>
      </c>
      <c r="C16" s="30" t="inlineStr">
        <is>
          <t>Row Count</t>
        </is>
      </c>
      <c r="D16" s="30" t="inlineStr">
        <is>
          <t>Affected Sources</t>
        </is>
      </c>
      <c r="E16" s="30" t="inlineStr">
        <is>
          <t>Root Cause &amp; Fix</t>
        </is>
      </c>
    </row>
    <row r="17" ht="18" customHeight="1" s="37">
      <c r="A17" s="13" t="n"/>
      <c r="B17" s="13" t="inlineStr">
        <is>
          <t>YouTube date format mismatch</t>
        </is>
      </c>
      <c r="C17" s="14" t="n">
        <v>3400</v>
      </c>
      <c r="D17" s="13" t="inlineStr">
        <is>
          <t>YouTube</t>
        </is>
      </c>
      <c r="E17" s="13" t="inlineStr">
        <is>
          <t>DD/MM/YYYY vs YYYY-MM-DD — fix at BQ Transfer config</t>
        </is>
      </c>
    </row>
    <row r="18" ht="18" customHeight="1" s="37">
      <c r="A18" s="15" t="n"/>
      <c r="B18" s="15" t="inlineStr">
        <is>
          <t>Missing required field</t>
        </is>
      </c>
      <c r="C18" s="27" t="n">
        <v>8310</v>
      </c>
      <c r="D18" s="15" t="inlineStr">
        <is>
          <t>Google Ads · YouTube</t>
        </is>
      </c>
      <c r="E18" s="15" t="inlineStr">
        <is>
          <t>NULL campaign_id or impressions — flagged in quarantine</t>
        </is>
      </c>
    </row>
    <row r="19" ht="18" customHeight="1" s="37">
      <c r="A19" s="13" t="n"/>
      <c r="B19" s="13" t="inlineStr">
        <is>
          <t>Negative impressions</t>
        </is>
      </c>
      <c r="C19" s="14" t="n">
        <v>6802</v>
      </c>
      <c r="D19" s="13" t="inlineStr">
        <is>
          <t>DV360</t>
        </is>
      </c>
      <c r="E19" s="13" t="inlineStr">
        <is>
          <t>DV360 billing adjustments — reconciled outside Gold metrics</t>
        </is>
      </c>
    </row>
    <row r="20" ht="18" customHeight="1" s="37">
      <c r="A20" s="15" t="n"/>
      <c r="B20" s="15" t="inlineStr">
        <is>
          <t>Missing / invalid YouTube metadata</t>
        </is>
      </c>
      <c r="C20" s="27" t="n">
        <v>6138</v>
      </c>
      <c r="D20" s="15" t="inlineStr">
        <is>
          <t>YouTube</t>
        </is>
      </c>
      <c r="E20" s="15" t="inlineStr">
        <is>
          <t>Incomplete channel/video metadata — quarantined or imputed where recoverable</t>
        </is>
      </c>
    </row>
    <row r="21" ht="18" customHeight="1" s="37">
      <c r="A21" s="13" t="n"/>
      <c r="B21" s="13" t="inlineStr">
        <is>
          <t>NULL geo_id</t>
        </is>
      </c>
      <c r="C21" s="14" t="n">
        <v>6759</v>
      </c>
      <c r="D21" s="13" t="inlineStr">
        <is>
          <t>GA4</t>
        </is>
      </c>
      <c r="E21" s="13" t="inlineStr">
        <is>
          <t>Consent declined / VPN users — kept NULL, not imputed</t>
        </is>
      </c>
    </row>
    <row r="22" ht="18" customHeight="1" s="37">
      <c r="A22" s="15" t="n"/>
      <c r="B22" s="15" t="n"/>
      <c r="C22" s="27" t="n"/>
      <c r="D22" s="15" t="n"/>
      <c r="E22" s="15" t="n"/>
    </row>
    <row r="23"/>
    <row r="24"/>
    <row r="25"/>
    <row r="26"/>
    <row r="27">
      <c r="B27" t="inlineStr">
        <is>
          <t>GA4</t>
        </is>
      </c>
      <c r="C27" t="n">
        <v>6759</v>
      </c>
    </row>
    <row r="28">
      <c r="B28" t="inlineStr">
        <is>
          <t>Google Ads</t>
        </is>
      </c>
      <c r="C28" t="n">
        <v>6316</v>
      </c>
    </row>
    <row r="29">
      <c r="B29" t="inlineStr">
        <is>
          <t>CM360</t>
        </is>
      </c>
      <c r="C29" t="n">
        <v>3360</v>
      </c>
    </row>
    <row r="30">
      <c r="B30" t="inlineStr">
        <is>
          <t>DV360</t>
        </is>
      </c>
      <c r="C30" t="n">
        <v>6802</v>
      </c>
    </row>
    <row r="31">
      <c r="B31" t="inlineStr">
        <is>
          <t>YouTube</t>
        </is>
      </c>
      <c r="C31" t="n">
        <v>8172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10B981"/>
    <outlinePr summaryBelow="1" summaryRight="1"/>
    <pageSetUpPr/>
  </sheetPr>
  <dimension ref="A1:F32"/>
  <sheetViews>
    <sheetView showGridLines="0" topLeftCell="A22" workbookViewId="0">
      <selection activeCell="O13" sqref="O13"/>
    </sheetView>
  </sheetViews>
  <sheetFormatPr baseColWidth="8" defaultRowHeight="15"/>
  <cols>
    <col width="3" customWidth="1" style="37" min="1" max="1"/>
    <col width="22" customWidth="1" style="37" min="2" max="2"/>
    <col width="16" customWidth="1" style="37" min="3" max="3"/>
    <col width="14" customWidth="1" style="37" min="4" max="4"/>
    <col width="16" customWidth="1" style="37" min="5" max="6"/>
  </cols>
  <sheetData>
    <row r="1"/>
    <row r="2" ht="21.95" customHeight="1" s="37">
      <c r="B2" s="31" t="inlineStr">
        <is>
          <t>GA4 Event Summary — BigQuery Export</t>
        </is>
      </c>
    </row>
    <row r="3">
      <c r="B3" s="11" t="inlineStr">
        <is>
          <t>analytics_*.events_*  ·  Jan–Jun 2024  ·  South Africa  ·  Organic CVR 2.5%</t>
        </is>
      </c>
    </row>
    <row r="4"/>
    <row r="5" ht="21.95" customHeight="1" s="37">
      <c r="A5" s="32" t="n"/>
      <c r="B5" s="32" t="inlineStr">
        <is>
          <t>Event Name</t>
        </is>
      </c>
      <c r="C5" s="32" t="inlineStr">
        <is>
          <t>Event Count</t>
        </is>
      </c>
      <c r="D5" s="32" t="inlineStr">
        <is>
          <t>Unique Users</t>
        </is>
      </c>
      <c r="E5" s="32" t="inlineStr">
        <is>
          <t>Avg Value (ZAR)</t>
        </is>
      </c>
      <c r="F5" s="32" t="inlineStr">
        <is>
          <t>Top Device</t>
        </is>
      </c>
    </row>
    <row r="6" ht="18" customHeight="1" s="37">
      <c r="A6" s="13" t="n"/>
      <c r="B6" s="13" t="inlineStr">
        <is>
          <t>session_start</t>
        </is>
      </c>
      <c r="C6" s="20" t="n">
        <v>480000</v>
      </c>
      <c r="D6" s="13" t="n">
        <v>142000</v>
      </c>
      <c r="E6" s="13" t="n">
        <v>0</v>
      </c>
      <c r="F6" s="13" t="inlineStr">
        <is>
          <t>Desktop</t>
        </is>
      </c>
    </row>
    <row r="7" ht="18" customHeight="1" s="37">
      <c r="A7" s="15" t="n"/>
      <c r="B7" s="15" t="inlineStr">
        <is>
          <t>page_view</t>
        </is>
      </c>
      <c r="C7" s="16" t="n">
        <v>1240000</v>
      </c>
      <c r="D7" s="15" t="n">
        <v>138500</v>
      </c>
      <c r="E7" s="15" t="n">
        <v>0</v>
      </c>
      <c r="F7" s="15" t="inlineStr">
        <is>
          <t>Desktop</t>
        </is>
      </c>
    </row>
    <row r="8" ht="18" customHeight="1" s="37">
      <c r="A8" s="13" t="n"/>
      <c r="B8" s="13" t="inlineStr">
        <is>
          <t>search</t>
        </is>
      </c>
      <c r="C8" s="20" t="n">
        <v>38400</v>
      </c>
      <c r="D8" s="13" t="n">
        <v>22100</v>
      </c>
      <c r="E8" s="13" t="n">
        <v>0</v>
      </c>
      <c r="F8" s="13" t="inlineStr">
        <is>
          <t>Mobile</t>
        </is>
      </c>
    </row>
    <row r="9" ht="18" customHeight="1" s="37">
      <c r="A9" s="15" t="n"/>
      <c r="B9" s="15" t="inlineStr">
        <is>
          <t>add_to_cart</t>
        </is>
      </c>
      <c r="C9" s="16" t="n">
        <v>61200</v>
      </c>
      <c r="D9" s="15" t="n">
        <v>29400</v>
      </c>
      <c r="E9" s="15" t="n">
        <v>52.4</v>
      </c>
      <c r="F9" s="15" t="inlineStr">
        <is>
          <t>Desktop</t>
        </is>
      </c>
    </row>
    <row r="10" ht="18" customHeight="1" s="37">
      <c r="A10" s="13" t="n"/>
      <c r="B10" s="13" t="inlineStr">
        <is>
          <t>begin_checkout</t>
        </is>
      </c>
      <c r="C10" s="20" t="n">
        <v>28900</v>
      </c>
      <c r="D10" s="13" t="n">
        <v>17800</v>
      </c>
      <c r="E10" s="13" t="n">
        <v>71.2</v>
      </c>
      <c r="F10" s="13" t="inlineStr">
        <is>
          <t>Desktop</t>
        </is>
      </c>
    </row>
    <row r="11" ht="18" customHeight="1" s="37">
      <c r="A11" s="15" t="n"/>
      <c r="B11" s="15" t="inlineStr">
        <is>
          <t>purchase</t>
        </is>
      </c>
      <c r="C11" s="16" t="n">
        <v>12100</v>
      </c>
      <c r="D11" s="15" t="n">
        <v>9800</v>
      </c>
      <c r="E11" s="15" t="n">
        <v>89.59999999999999</v>
      </c>
      <c r="F11" s="15" t="inlineStr">
        <is>
          <t>Desktop</t>
        </is>
      </c>
    </row>
    <row r="12"/>
    <row r="13"/>
    <row r="14" ht="21.95" customHeight="1" s="37">
      <c r="B14" s="10" t="inlineStr">
        <is>
          <t>Ecommerce Funnel — Session to Purchase</t>
        </is>
      </c>
    </row>
    <row r="15"/>
    <row r="16" ht="21.95" customHeight="1" s="37">
      <c r="A16" s="33" t="n"/>
      <c r="B16" s="33" t="inlineStr">
        <is>
          <t>Funnel Step</t>
        </is>
      </c>
      <c r="C16" s="33" t="inlineStr">
        <is>
          <t>Count</t>
        </is>
      </c>
      <c r="D16" s="33" t="inlineStr">
        <is>
          <t>Drop-off</t>
        </is>
      </c>
      <c r="E16" s="33" t="inlineStr">
        <is>
          <t>Cumulative Rate</t>
        </is>
      </c>
    </row>
    <row r="17" ht="18" customHeight="1" s="37">
      <c r="A17" s="13" t="n"/>
      <c r="B17" s="13" t="inlineStr">
        <is>
          <t>Sessions</t>
        </is>
      </c>
      <c r="C17" s="13" t="n">
        <v>480000</v>
      </c>
      <c r="D17" s="13" t="inlineStr">
        <is>
          <t>—</t>
        </is>
      </c>
      <c r="E17" s="17" t="inlineStr">
        <is>
          <t>100.0%</t>
        </is>
      </c>
    </row>
    <row r="18" ht="18" customHeight="1" s="37">
      <c r="A18" s="15" t="n"/>
      <c r="B18" s="15" t="inlineStr">
        <is>
          <t>Product views</t>
        </is>
      </c>
      <c r="C18" s="15" t="n">
        <v>214000</v>
      </c>
      <c r="D18" s="15" t="inlineStr">
        <is>
          <t>266,000</t>
        </is>
      </c>
      <c r="E18" s="22" t="inlineStr">
        <is>
          <t>44.6%</t>
        </is>
      </c>
    </row>
    <row r="19" ht="18" customHeight="1" s="37">
      <c r="A19" s="13" t="n"/>
      <c r="B19" s="13" t="inlineStr">
        <is>
          <t>Add to cart</t>
        </is>
      </c>
      <c r="C19" s="13" t="n">
        <v>61200</v>
      </c>
      <c r="D19" s="13" t="inlineStr">
        <is>
          <t>152,800</t>
        </is>
      </c>
      <c r="E19" s="17" t="inlineStr">
        <is>
          <t>12.8%</t>
        </is>
      </c>
    </row>
    <row r="20" ht="18" customHeight="1" s="37">
      <c r="A20" s="15" t="n"/>
      <c r="B20" s="15" t="inlineStr">
        <is>
          <t>Begin checkout</t>
        </is>
      </c>
      <c r="C20" s="15" t="n">
        <v>28900</v>
      </c>
      <c r="D20" s="15" t="inlineStr">
        <is>
          <t>32,300</t>
        </is>
      </c>
      <c r="E20" s="27" t="inlineStr">
        <is>
          <t>6.0%</t>
        </is>
      </c>
    </row>
    <row r="21" ht="18" customHeight="1" s="37">
      <c r="A21" s="13" t="n"/>
      <c r="B21" s="13" t="inlineStr">
        <is>
          <t>Purchase</t>
        </is>
      </c>
      <c r="C21" s="13" t="n">
        <v>12100</v>
      </c>
      <c r="D21" s="13" t="inlineStr">
        <is>
          <t>16,800</t>
        </is>
      </c>
      <c r="E21" s="28" t="inlineStr">
        <is>
          <t>2.5%</t>
        </is>
      </c>
    </row>
    <row r="22"/>
    <row r="23" ht="15.95" customHeight="1" s="37">
      <c r="B23" s="26" t="inlineStr">
        <is>
          <t>INSIGHT: 58% of users who begin checkout do not purchase. Checkout abandoners are the highest-intent retargeting segment — export this GA4 audience to DV360.</t>
        </is>
      </c>
    </row>
    <row r="24"/>
    <row r="25"/>
    <row r="26"/>
    <row r="27">
      <c r="B27" t="inlineStr">
        <is>
          <t>Jan</t>
        </is>
      </c>
      <c r="C27" t="n">
        <v>62000</v>
      </c>
    </row>
    <row r="28">
      <c r="B28" t="inlineStr">
        <is>
          <t>Feb</t>
        </is>
      </c>
      <c r="C28" t="n">
        <v>74000</v>
      </c>
    </row>
    <row r="29">
      <c r="B29" t="inlineStr">
        <is>
          <t>Mar</t>
        </is>
      </c>
      <c r="C29" t="n">
        <v>81000</v>
      </c>
    </row>
    <row r="30">
      <c r="B30" t="inlineStr">
        <is>
          <t>Apr</t>
        </is>
      </c>
      <c r="C30" t="n">
        <v>88000</v>
      </c>
    </row>
    <row r="31">
      <c r="B31" t="inlineStr">
        <is>
          <t>May</t>
        </is>
      </c>
      <c r="C31" t="n">
        <v>94000</v>
      </c>
    </row>
    <row r="32">
      <c r="B32" t="inlineStr">
        <is>
          <t>Jun</t>
        </is>
      </c>
      <c r="C32" t="n">
        <v>81000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8B5CF6"/>
    <outlinePr summaryBelow="1" summaryRight="1"/>
    <pageSetUpPr/>
  </sheetPr>
  <dimension ref="A1:F24"/>
  <sheetViews>
    <sheetView showGridLines="0" workbookViewId="0">
      <selection activeCell="M4" sqref="M4"/>
    </sheetView>
  </sheetViews>
  <sheetFormatPr baseColWidth="8" defaultRowHeight="15"/>
  <cols>
    <col width="3" customWidth="1" style="37" min="1" max="1"/>
    <col width="26" customWidth="1" style="37" min="2" max="2"/>
    <col width="20" customWidth="1" style="37" min="3" max="5"/>
    <col width="16" customWidth="1" style="37" min="6" max="6"/>
  </cols>
  <sheetData>
    <row r="1"/>
    <row r="2" ht="21.95" customHeight="1" s="37">
      <c r="B2" s="34" t="inlineStr">
        <is>
          <t>Airflow DAG — gcp_marketing_analytics_pipeline</t>
        </is>
      </c>
    </row>
    <row r="3">
      <c r="B3" s="11" t="inlineStr">
        <is>
          <t>Schedule: 04:00 UTC daily  ·  9 tasks  ·  4 task groups  ·  SLA: Gold ready by 08:00 SAST</t>
        </is>
      </c>
    </row>
    <row r="4"/>
    <row r="5" ht="21.95" customHeight="1" s="37">
      <c r="A5" s="35" t="n"/>
      <c r="B5" s="35" t="inlineStr">
        <is>
          <t>Task</t>
        </is>
      </c>
      <c r="C5" s="35" t="inlineStr">
        <is>
          <t>Task Group</t>
        </is>
      </c>
      <c r="D5" s="35" t="inlineStr">
        <is>
          <t>Operator Type</t>
        </is>
      </c>
      <c r="E5" s="35" t="inlineStr">
        <is>
          <t>Depends On</t>
        </is>
      </c>
      <c r="F5" s="35" t="inlineStr">
        <is>
          <t>Est. Duration</t>
        </is>
      </c>
    </row>
    <row r="6" ht="18" customHeight="1" s="37">
      <c r="A6" s="13" t="n"/>
      <c r="B6" s="13" t="inlineStr">
        <is>
          <t>trigger_ga4_transfer</t>
        </is>
      </c>
      <c r="C6" s="14" t="inlineStr">
        <is>
          <t>ingest</t>
        </is>
      </c>
      <c r="D6" s="13" t="inlineStr">
        <is>
          <t>BQ Data Transfer Operator</t>
        </is>
      </c>
      <c r="E6" s="13" t="inlineStr">
        <is>
          <t>—</t>
        </is>
      </c>
      <c r="F6" s="13" t="inlineStr">
        <is>
          <t>~2 min</t>
        </is>
      </c>
    </row>
    <row r="7" ht="18" customHeight="1" s="37">
      <c r="A7" s="15" t="n"/>
      <c r="B7" s="15" t="inlineStr">
        <is>
          <t>trigger_google_ads_transfer</t>
        </is>
      </c>
      <c r="C7" s="27" t="inlineStr">
        <is>
          <t>ingest</t>
        </is>
      </c>
      <c r="D7" s="15" t="inlineStr">
        <is>
          <t>BQ Data Transfer Operator</t>
        </is>
      </c>
      <c r="E7" s="15" t="inlineStr">
        <is>
          <t>—</t>
        </is>
      </c>
      <c r="F7" s="15" t="inlineStr">
        <is>
          <t>~2 min</t>
        </is>
      </c>
    </row>
    <row r="8" ht="18" customHeight="1" s="37">
      <c r="A8" s="13" t="n"/>
      <c r="B8" s="13" t="inlineStr">
        <is>
          <t>trigger_cm360_transfer</t>
        </is>
      </c>
      <c r="C8" s="14" t="inlineStr">
        <is>
          <t>ingest</t>
        </is>
      </c>
      <c r="D8" s="13" t="inlineStr">
        <is>
          <t>BQ Data Transfer Operator</t>
        </is>
      </c>
      <c r="E8" s="13" t="inlineStr">
        <is>
          <t>—</t>
        </is>
      </c>
      <c r="F8" s="13" t="inlineStr">
        <is>
          <t>~2 min</t>
        </is>
      </c>
    </row>
    <row r="9" ht="18" customHeight="1" s="37">
      <c r="A9" s="15" t="n"/>
      <c r="B9" s="15" t="inlineStr">
        <is>
          <t>trigger_dv360_transfer</t>
        </is>
      </c>
      <c r="C9" s="27" t="inlineStr">
        <is>
          <t>ingest</t>
        </is>
      </c>
      <c r="D9" s="15" t="inlineStr">
        <is>
          <t>BQ Data Transfer Operator</t>
        </is>
      </c>
      <c r="E9" s="15" t="inlineStr">
        <is>
          <t>—</t>
        </is>
      </c>
      <c r="F9" s="15" t="inlineStr">
        <is>
          <t>~3 min</t>
        </is>
      </c>
    </row>
    <row r="10" ht="18" customHeight="1" s="37">
      <c r="A10" s="13" t="n"/>
      <c r="B10" s="13" t="inlineStr">
        <is>
          <t>trigger_youtube_transfer</t>
        </is>
      </c>
      <c r="C10" s="14" t="inlineStr">
        <is>
          <t>ingest</t>
        </is>
      </c>
      <c r="D10" s="13" t="inlineStr">
        <is>
          <t>BQ Data Transfer Operator</t>
        </is>
      </c>
      <c r="E10" s="13" t="inlineStr">
        <is>
          <t>—</t>
        </is>
      </c>
      <c r="F10" s="13" t="inlineStr">
        <is>
          <t>~2 min</t>
        </is>
      </c>
    </row>
    <row r="11" ht="18" customHeight="1" s="37">
      <c r="A11" s="15" t="n"/>
      <c r="B11" s="15" t="inlineStr">
        <is>
          <t>run_beam_pipeline</t>
        </is>
      </c>
      <c r="C11" s="24" t="inlineStr">
        <is>
          <t>validate</t>
        </is>
      </c>
      <c r="D11" s="15" t="inlineStr">
        <is>
          <t>PythonOperator (DataflowHook)</t>
        </is>
      </c>
      <c r="E11" s="15" t="inlineStr">
        <is>
          <t>ingest (all 5)</t>
        </is>
      </c>
      <c r="F11" s="15" t="inlineStr">
        <is>
          <t>~8 min</t>
        </is>
      </c>
    </row>
    <row r="12" ht="18" customHeight="1" s="37">
      <c r="A12" s="13" t="n"/>
      <c r="B12" s="13" t="inlineStr">
        <is>
          <t>dbt_run_staging_models</t>
        </is>
      </c>
      <c r="C12" s="20" t="inlineStr">
        <is>
          <t>transform</t>
        </is>
      </c>
      <c r="D12" s="13" t="inlineStr">
        <is>
          <t>BashOperator (dbt run)</t>
        </is>
      </c>
      <c r="E12" s="13" t="inlineStr">
        <is>
          <t>validate</t>
        </is>
      </c>
      <c r="F12" s="13" t="inlineStr">
        <is>
          <t>~4 min</t>
        </is>
      </c>
    </row>
    <row r="13" ht="18" customHeight="1" s="37">
      <c r="A13" s="15" t="n"/>
      <c r="B13" s="15" t="inlineStr">
        <is>
          <t>dbt_test_staging_models</t>
        </is>
      </c>
      <c r="C13" s="16" t="inlineStr">
        <is>
          <t>transform</t>
        </is>
      </c>
      <c r="D13" s="15" t="inlineStr">
        <is>
          <t>BashOperator (dbt test)</t>
        </is>
      </c>
      <c r="E13" s="15" t="inlineStr">
        <is>
          <t>dbt_run_staging</t>
        </is>
      </c>
      <c r="F13" s="15" t="inlineStr">
        <is>
          <t>~2 min</t>
        </is>
      </c>
    </row>
    <row r="14" ht="18" customHeight="1" s="37">
      <c r="A14" s="13" t="n"/>
      <c r="B14" s="13" t="inlineStr">
        <is>
          <t>build_gold_fact_table</t>
        </is>
      </c>
      <c r="C14" s="17" t="inlineStr">
        <is>
          <t>gold</t>
        </is>
      </c>
      <c r="D14" s="13" t="inlineStr">
        <is>
          <t>BashOperator (dbt run)</t>
        </is>
      </c>
      <c r="E14" s="13" t="inlineStr">
        <is>
          <t>transform</t>
        </is>
      </c>
      <c r="F14" s="13" t="inlineStr">
        <is>
          <t>~3 min</t>
        </is>
      </c>
    </row>
    <row r="15" ht="20.1" customHeight="1" s="37">
      <c r="A15" s="25" t="n"/>
      <c r="B15" s="25" t="inlineStr">
        <is>
          <t>TOTAL</t>
        </is>
      </c>
      <c r="C15" s="25" t="inlineStr">
        <is>
          <t>4 task groups</t>
        </is>
      </c>
      <c r="D15" s="25" t="inlineStr">
        <is>
          <t>9 tasks</t>
        </is>
      </c>
      <c r="E15" s="25" t="inlineStr">
        <is>
          <t>Sequential + parallel</t>
        </is>
      </c>
      <c r="F15" s="25" t="inlineStr">
        <is>
          <t>~28 min</t>
        </is>
      </c>
    </row>
    <row r="16"/>
    <row r="17" ht="15.95" customHeight="1" s="37">
      <c r="B17" s="26" t="inlineStr">
        <is>
          <t>DESIGN PRINCIPLE: Gold layer is fully overwritten (not appended) on each run — ensures idempotency and correct handling of late-arriving DV360 billing adjustments.</t>
        </is>
      </c>
    </row>
    <row r="18"/>
    <row r="19"/>
    <row r="20"/>
    <row r="21">
      <c r="B21" t="inlineStr">
        <is>
          <t>ingest</t>
        </is>
      </c>
      <c r="C21" t="n">
        <v>3</v>
      </c>
    </row>
    <row r="22">
      <c r="B22" t="inlineStr">
        <is>
          <t>validate</t>
        </is>
      </c>
      <c r="C22" t="n">
        <v>8</v>
      </c>
    </row>
    <row r="23">
      <c r="B23" t="inlineStr">
        <is>
          <t>transform</t>
        </is>
      </c>
      <c r="C23" t="n">
        <v>6</v>
      </c>
    </row>
    <row r="24">
      <c r="B24" t="inlineStr">
        <is>
          <t>gold</t>
        </is>
      </c>
      <c r="C24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2026-06-16T22:35:27Z</dcterms:created>
  <dcterms:modified xsi:type="dcterms:W3CDTF">2026-06-17T20:39:23Z</dcterms:modified>
  <cp:lastModifiedBy>Anthony</cp:lastModifiedBy>
</cp:coreProperties>
</file>